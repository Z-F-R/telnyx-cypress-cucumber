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Plan" sheetId="1" state="visible" r:id="rId3"/>
    <sheet name="Test Cases" sheetId="2" state="visible" r:id="rId4"/>
    <sheet name="Summary" sheetId="3" state="visible" r:id="rId5"/>
  </sheets>
  <definedNames>
    <definedName function="false" hidden="true" localSheetId="1" name="_xlnm._FilterDatabase" vbProcedure="false">'Test Cases'!$A$1:$N$16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<sst xmlns="http://schemas.openxmlformats.org/spreadsheetml/2006/main" count="277" uniqueCount="177">
  <si>
    <t xml:space="preserve">Telnyx.com UI Test Plan — Cypress + Cucumber</t>
  </si>
  <si>
    <t xml:space="preserve">General</t>
  </si>
  <si>
    <t xml:space="preserve">Project</t>
  </si>
  <si>
    <t xml:space="preserve">UI test automation for the public website https://telnyx.com</t>
  </si>
  <si>
    <t xml:space="preserve">Version / Date</t>
  </si>
  <si>
    <t xml:space="preserve">1.0 / 2026-10-22</t>
  </si>
  <si>
    <t xml:space="preserve">Objective</t>
  </si>
  <si>
    <t xml:space="preserve">Verify that the key public pages and user flows of telnyx.com (homepage, header navigation, authentication entry points, pricing, footer, mobile navigation, sign-up form validation) work as expected, and automate these checks with Cypress + Cucumber in a CI pipeline.</t>
  </si>
  <si>
    <t xml:space="preserve">Scope</t>
  </si>
  <si>
    <t xml:space="preserve">In scope</t>
  </si>
  <si>
    <t xml:space="preserve">• Homepage loading, logo, document title
• Desktop header navigation and dropdown behaviour
• Sign up and Log in entry points
• Pricing page navigation and plan sections
• Footer sections and social media links
• Mobile navigation menu (375 × 812)
• Client-side validation of the Sign up form</t>
  </si>
  <si>
    <t xml:space="preserve">Out of scope</t>
  </si>
  <si>
    <t xml:space="preserve">• Creating real accounts, logging in with real credentials
• Bypassing CAPTCHA / anti-bot protection
• Telnyx portal functionality behind login
• Performance, load, security and API testing
• Exact marketing copy and exact pricing values (volatile content)</t>
  </si>
  <si>
    <t xml:space="preserve">Approach</t>
  </si>
  <si>
    <t xml:space="preserve">Test types</t>
  </si>
  <si>
    <t xml:space="preserve">Smoke, UI, navigation, links/attributes, interaction, responsive, form validation (functional black-box UI testing).</t>
  </si>
  <si>
    <t xml:space="preserve">Automation design</t>
  </si>
  <si>
    <t xml:space="preserve">• BDD: Gherkin .feature files grouped by site area + step definitions
• Page Object pattern for locators and actions
• Test data (navigation items, social URLs) in fixtures
• Tags: @smoke for the critical path, @regression for the full suite
• Assertions target stable visible content and semantic attributes (href, target, aria-expanded, data-state)</t>
  </si>
  <si>
    <t xml:space="preserve">Known site behaviour</t>
  </si>
  <si>
    <t xml:space="preserve">telnyx.com throws its own uncaught errors (document.modelContext SecurityError, cross-origin 'Script error.'). Only these are ignored in cypress/support/e2e.js; any other application error still fails the test. The OneTrust cookie banner is suppressed by setting consent cookies before each test.</t>
  </si>
  <si>
    <t xml:space="preserve">Environment</t>
  </si>
  <si>
    <t xml:space="preserve">Application under test</t>
  </si>
  <si>
    <t xml:space="preserve">https://telnyx.com (production, public pages)</t>
  </si>
  <si>
    <t xml:space="preserve">Browsers</t>
  </si>
  <si>
    <t xml:space="preserve">Chrome (primary, CI), Electron (Cypress default); desktop viewport 1440 × 900, mobile viewport 375 × 812</t>
  </si>
  <si>
    <t xml:space="preserve">Tools</t>
  </si>
  <si>
    <t xml:space="preserve">Node.js LTS, Cypress, @badeball/cypress-cucumber-preprocessor, esbuild, HTML report (cucumber/mochawesome), GitHub Actions, GitHub Pages</t>
  </si>
  <si>
    <t xml:space="preserve">Configuration</t>
  </si>
  <si>
    <t xml:space="preserve">Base config cypress.config.js plus a separate environment config file (e.g. cypress.prod.config.js) selected with --config-file; base URL configurable.</t>
  </si>
  <si>
    <t xml:space="preserve">CI / Reporting</t>
  </si>
  <si>
    <t xml:space="preserve">GitHub Actions runs the suite on push / pull request / manual trigger, uploads screenshots on failure, generates an HTML report and publishes it to GitHub Pages.</t>
  </si>
  <si>
    <t xml:space="preserve">Criteria</t>
  </si>
  <si>
    <t xml:space="preserve">Entry criteria</t>
  </si>
  <si>
    <t xml:space="preserve">telnyx.com is reachable; test environment and dependencies installed; test cases reviewed.</t>
  </si>
  <si>
    <t xml:space="preserve">Exit criteria</t>
  </si>
  <si>
    <t xml:space="preserve">All 15 test cases automated; all High priority cases pass; failures are analysed and documented (site defect vs. test issue); report published to GitHub Pages.</t>
  </si>
  <si>
    <t xml:space="preserve">Risks</t>
  </si>
  <si>
    <t xml:space="preserve">Risks and mitigation</t>
  </si>
  <si>
    <t xml:space="preserve">• Live production site changes markup/content → stable selectors, Page Objects, no exact marketing copy
• Third-party scripts and A/B tests cause flakiness → targeted uncaught:exception handling, retries in CI run mode
• Cookie banner overlaps elements → OneTrust consent cookies are set before each test
• Cross-origin portal (portal.telnyx.com) → cy.origin
• Anti-bot protection on Sign up → validation only, form is never submitted with valid data</t>
  </si>
  <si>
    <t xml:space="preserve">Deliverables</t>
  </si>
  <si>
    <t xml:space="preserve">Test plan (this file), Cypress + Cucumber project on GitHub, GitHub Actions workflow, separate config file, HTML report on GitHub Pages</t>
  </si>
  <si>
    <t xml:space="preserve">ID</t>
  </si>
  <si>
    <t xml:space="preserve">Feature file</t>
  </si>
  <si>
    <t xml:space="preserve">Area</t>
  </si>
  <si>
    <t xml:space="preserve">Title</t>
  </si>
  <si>
    <t xml:space="preserve">Priority</t>
  </si>
  <si>
    <t xml:space="preserve">Type</t>
  </si>
  <si>
    <t xml:space="preserve">Tags</t>
  </si>
  <si>
    <t xml:space="preserve">Preconditions</t>
  </si>
  <si>
    <t xml:space="preserve">Test data</t>
  </si>
  <si>
    <t xml:space="preserve">Steps</t>
  </si>
  <si>
    <t xml:space="preserve">Expected result</t>
  </si>
  <si>
    <t xml:space="preserve">Automated</t>
  </si>
  <si>
    <t xml:space="preserve">Status</t>
  </si>
  <si>
    <t xml:space="preserve">Comments</t>
  </si>
  <si>
    <t xml:space="preserve">TC-001</t>
  </si>
  <si>
    <t xml:space="preserve">homepage.feature</t>
  </si>
  <si>
    <t xml:space="preserve">Homepage</t>
  </si>
  <si>
    <t xml:space="preserve">Verify homepage loads successfully</t>
  </si>
  <si>
    <t xml:space="preserve">High</t>
  </si>
  <si>
    <t xml:space="preserve">Smoke</t>
  </si>
  <si>
    <t xml:space="preserve">@smoke @regression</t>
  </si>
  <si>
    <t xml:space="preserve">telnyx.com is reachable.</t>
  </si>
  <si>
    <t xml:space="preserve">URL: https://telnyx.com/</t>
  </si>
  <si>
    <t xml:space="preserve">1. Open https://telnyx.com/.</t>
  </si>
  <si>
    <t xml:space="preserve">The homepage loads and the browser URL is https://telnyx.com/.</t>
  </si>
  <si>
    <t xml:space="preserve">Yes</t>
  </si>
  <si>
    <t xml:space="preserve">Passed</t>
  </si>
  <si>
    <t xml:space="preserve">TC-002</t>
  </si>
  <si>
    <t xml:space="preserve">Verify logo is visible and navigates to homepage</t>
  </si>
  <si>
    <t xml:space="preserve">Medium</t>
  </si>
  <si>
    <t xml:space="preserve">UI / Navigation</t>
  </si>
  <si>
    <t xml:space="preserve">@regression</t>
  </si>
  <si>
    <t xml:space="preserve">Homepage is open; cookie banner is suppressed.</t>
  </si>
  <si>
    <t xml:space="preserve">Logo link href: /</t>
  </si>
  <si>
    <t xml:space="preserve">1. Locate the Telnyx logo in the site header.
2. Verify it is visible and links to '/'.
3. Click the logo.</t>
  </si>
  <si>
    <t xml:space="preserve">The logo is visible, has the homepage link, and clicking it opens https://telnyx.com/.</t>
  </si>
  <si>
    <t xml:space="preserve">TC-003</t>
  </si>
  <si>
    <t xml:space="preserve">header.feature</t>
  </si>
  <si>
    <t xml:space="preserve">Header</t>
  </si>
  <si>
    <t xml:space="preserve">Verify primary header navigation items are visible</t>
  </si>
  <si>
    <t xml:space="preserve">UI</t>
  </si>
  <si>
    <t xml:space="preserve">Homepage is open in desktop viewport.</t>
  </si>
  <si>
    <t xml:space="preserve">Products, Solutions, Pricing, Why Telnyx, Resources, Developers</t>
  </si>
  <si>
    <t xml:space="preserve">1. Locate the main header navigation.
2. Check each expected navigation item.</t>
  </si>
  <si>
    <t xml:space="preserve">The main navigation is visible and each expected item is displayed.</t>
  </si>
  <si>
    <t xml:space="preserve">TC-004</t>
  </si>
  <si>
    <t xml:space="preserve">auth.feature</t>
  </si>
  <si>
    <t xml:space="preserve">Authentication</t>
  </si>
  <si>
    <t xml:space="preserve">Verify Sign up opens the registration page</t>
  </si>
  <si>
    <t xml:space="preserve">Navigation</t>
  </si>
  <si>
    <t xml:space="preserve">Expected URL part: /sign-up</t>
  </si>
  <si>
    <t xml:space="preserve">1. Click the Sign up link in the header.
2. Wait for the registration page to load.
3. Check the page URL and heading.</t>
  </si>
  <si>
    <t xml:space="preserve">The URL contains '/sign-up' and the 'Create your account' heading is displayed.</t>
  </si>
  <si>
    <t xml:space="preserve">TC-005</t>
  </si>
  <si>
    <t xml:space="preserve">Verify Log in opens the Telnyx portal</t>
  </si>
  <si>
    <t xml:space="preserve">Expected href: https://portal.telnyx.com</t>
  </si>
  <si>
    <t xml:space="preserve">1. Verify the Log in link is visible and points to https://portal.telnyx.com.
2. Click the link (opened in the same tab for the test).
3. Verify the portal sign-in page opens.</t>
  </si>
  <si>
    <t xml:space="preserve">The Log in link points to the Telnyx portal and navigation reaches portal.telnyx.com with the sign-in form displayed.</t>
  </si>
  <si>
    <t xml:space="preserve">TC-006</t>
  </si>
  <si>
    <t xml:space="preserve">pricing.feature</t>
  </si>
  <si>
    <t xml:space="preserve">Pricing</t>
  </si>
  <si>
    <t xml:space="preserve">Verify Pricing page opens from the header</t>
  </si>
  <si>
    <t xml:space="preserve">Homepage is open in desktop viewport; cookie banner is suppressed.</t>
  </si>
  <si>
    <t xml:space="preserve">Expected URL part: /pricing</t>
  </si>
  <si>
    <t xml:space="preserve">1. Open the Pricing menu in the header.
2. Click the link to view all pricing.
3. Verify the URL and page content.</t>
  </si>
  <si>
    <t xml:space="preserve">The browser navigates to '/pricing' and the pricing page content is displayed.</t>
  </si>
  <si>
    <t xml:space="preserve">TC-007</t>
  </si>
  <si>
    <t xml:space="preserve">Verify pricing plan sections are displayed</t>
  </si>
  <si>
    <t xml:space="preserve">UI / Content</t>
  </si>
  <si>
    <t xml:space="preserve">Sections: Pay as you go, Growth, Enterprise</t>
  </si>
  <si>
    <t xml:space="preserve">1. Open https://telnyx.com/pricing.
2. Locate the Pay as you go, Growth and Enterprise plan sections.</t>
  </si>
  <si>
    <t xml:space="preserve">All three pricing plan sections are displayed.</t>
  </si>
  <si>
    <t xml:space="preserve">TC-008</t>
  </si>
  <si>
    <t xml:space="preserve">footer.feature</t>
  </si>
  <si>
    <t xml:space="preserve">Footer</t>
  </si>
  <si>
    <t xml:space="preserve">Verify footer sections are displayed</t>
  </si>
  <si>
    <t xml:space="preserve">Homepage is open.</t>
  </si>
  <si>
    <t xml:space="preserve">Sections: Social, Compare, Resources, Company</t>
  </si>
  <si>
    <t xml:space="preserve">1. Scroll to the footer.
2. Verify the footer is visible.
3. Check each expected section.</t>
  </si>
  <si>
    <t xml:space="preserve">The footer and each expected section are visible.</t>
  </si>
  <si>
    <t xml:space="preserve">TC-009</t>
  </si>
  <si>
    <t xml:space="preserve">Verify social media links have expected destinations</t>
  </si>
  <si>
    <t xml:space="preserve">Links</t>
  </si>
  <si>
    <t xml:space="preserve">Homepage is open; footer is reachable.</t>
  </si>
  <si>
    <t xml:space="preserve">LinkedIn: https://www.linkedin.com/company/telnyx
Facebook: https://www.facebook.com/Telnyx/
X: https://x.com/telnyx</t>
  </si>
  <si>
    <t xml:space="preserve">1. Scroll to the footer.
2. Check the LinkedIn, Facebook and X links.
3. Compare each href with the expected URL.</t>
  </si>
  <si>
    <t xml:space="preserve">Each social link is visible and has the expected destination URL.</t>
  </si>
  <si>
    <t xml:space="preserve">TC-010</t>
  </si>
  <si>
    <t xml:space="preserve">Verify social media links open in a new tab</t>
  </si>
  <si>
    <t xml:space="preserve">Low</t>
  </si>
  <si>
    <t xml:space="preserve">Links / Attributes</t>
  </si>
  <si>
    <t xml:space="preserve">Expected attribute: target='_blank'</t>
  </si>
  <si>
    <t xml:space="preserve">1. Scroll to the footer.
2. Inspect the LinkedIn, Facebook and X links.
3. Verify each link's target attribute.</t>
  </si>
  <si>
    <t xml:space="preserve">Each social link has target='_blank'.</t>
  </si>
  <si>
    <t xml:space="preserve">TC-011</t>
  </si>
  <si>
    <t xml:space="preserve">Verify homepage document title</t>
  </si>
  <si>
    <t xml:space="preserve">Metadata</t>
  </si>
  <si>
    <t xml:space="preserve">Expected substring: Telnyx</t>
  </si>
  <si>
    <t xml:space="preserve">1. Read the browser document title.</t>
  </si>
  <si>
    <t xml:space="preserve">The document title contains 'Telnyx' (the full title is not asserted: marketing copy changes).</t>
  </si>
  <si>
    <t xml:space="preserve">TC-012</t>
  </si>
  <si>
    <t xml:space="preserve">mobile.feature</t>
  </si>
  <si>
    <t xml:space="preserve">Responsive</t>
  </si>
  <si>
    <t xml:space="preserve">Verify mobile navigation menu opens</t>
  </si>
  <si>
    <t xml:space="preserve">Viewport is set to 375 × 812; homepage is open; cookie banner is suppressed.</t>
  </si>
  <si>
    <t xml:space="preserve">Viewport: 375 × 812</t>
  </si>
  <si>
    <t xml:space="preserve">1. Open the homepage at mobile viewport size.
2. Locate the mobile menu button.
3. Click the button.
4. Verify the navigation menu is open.</t>
  </si>
  <si>
    <t xml:space="preserve">The mobile menu button is visible; after the click the menu state changes from closed to open and the navigation content is displayed.</t>
  </si>
  <si>
    <t xml:space="preserve">TC-013</t>
  </si>
  <si>
    <t xml:space="preserve">Verify opening another header dropdown closes the previous one</t>
  </si>
  <si>
    <t xml:space="preserve">Interaction</t>
  </si>
  <si>
    <t xml:space="preserve">Dropdowns: Products, Solutions</t>
  </si>
  <si>
    <t xml:space="preserve">1. Open the Products dropdown.
2. Verify it is expanded.
3. Open the Solutions dropdown.
4. Check the expanded state of both dropdowns.</t>
  </si>
  <si>
    <t xml:space="preserve">Solutions has aria-expanded='true' and Products has aria-expanded='false'.</t>
  </si>
  <si>
    <t xml:space="preserve">TC-014</t>
  </si>
  <si>
    <t xml:space="preserve">signup.feature</t>
  </si>
  <si>
    <t xml:space="preserve">Registration</t>
  </si>
  <si>
    <t xml:space="preserve">Verify required-field validation on Sign up form</t>
  </si>
  <si>
    <t xml:space="preserve">Validation</t>
  </si>
  <si>
    <t xml:space="preserve">Registration page is open; no real account is created.</t>
  </si>
  <si>
    <t xml:space="preserve">Email: (empty)
Terms checkbox: unchecked</t>
  </si>
  <si>
    <t xml:space="preserve">1. Leave the work email empty.
2. Leave the terms checkbox unchecked.
3. Click Create account.
4. Inspect the email and terms validation messages.</t>
  </si>
  <si>
    <t xml:space="preserve">Messages 'Please enter an email address.' and 'You must accept the Terms and Conditions.' are displayed; no account is created.</t>
  </si>
  <si>
    <t xml:space="preserve">TC-015</t>
  </si>
  <si>
    <t xml:space="preserve">Verify invalid email validation on Sign up form</t>
  </si>
  <si>
    <t xml:space="preserve">Email: test@examplecom
Terms checkbox: checked</t>
  </si>
  <si>
    <t xml:space="preserve">1. Enter an invalid email.
2. Accept the terms checkbox to isolate email validation.
3. Click Create account.
4. Inspect the email validation message.</t>
  </si>
  <si>
    <t xml:space="preserve">Message 'Please enter a valid email address.' is displayed; the form does not proceed to account creation.</t>
  </si>
  <si>
    <t xml:space="preserve">Test Summary</t>
  </si>
  <si>
    <t xml:space="preserve">Counts update automatically from the Status column on the Test Cases sheet.</t>
  </si>
  <si>
    <t xml:space="preserve">Test cases</t>
  </si>
  <si>
    <t xml:space="preserve">Total</t>
  </si>
  <si>
    <t xml:space="preserve">Not run</t>
  </si>
  <si>
    <t xml:space="preserve">Failed</t>
  </si>
  <si>
    <t xml:space="preserve">Blocked</t>
  </si>
  <si>
    <t xml:space="preserve">Pass rate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</si>
</sst>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i val="true"/>
      <sz val="11"/>
      <color rgb="FF5959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1F3864"/>
        <bgColor rgb="FF33333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/>
      <top style="thin">
        <color rgb="FFA6A6A6"/>
      </top>
      <bottom style="thin">
        <color rgb="FFA6A6A6"/>
      </bottom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E2EFDA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FC7CE"/>
      <rgbColor rgb="FF808080"/>
      <rgbColor rgb="FF9999FF"/>
      <rgbColor rgb="FF993366"/>
      <rgbColor rgb="FFE2EFDA"/>
      <rgbColor rgb="FFFFE699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19.7" hidden="false" customHeight="false" outlineLevel="0" collapsed="false">
      <c r="A1" s="1" t="s">
        <v>0</v>
      </c>
      <c r="B1" s="1"/>
    </row>
    <row r="3" customFormat="false" ht="15" hidden="false" customHeight="false" outlineLevel="0" collapsed="false">
      <c r="A3" s="2" t="s">
        <v>1</v>
      </c>
      <c r="B3" s="2"/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39.5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2" t="s">
        <v>8</v>
      </c>
      <c r="B7" s="2"/>
    </row>
    <row r="8" customFormat="false" ht="90.25" hidden="false" customHeight="false" outlineLevel="0" collapsed="false">
      <c r="A8" s="3" t="s">
        <v>9</v>
      </c>
      <c r="B8" s="4" t="s">
        <v>10</v>
      </c>
    </row>
    <row r="9" customFormat="false" ht="64.9" hidden="false" customHeight="false" outlineLevel="0" collapsed="false">
      <c r="A9" s="3" t="s">
        <v>11</v>
      </c>
      <c r="B9" s="4" t="s">
        <v>12</v>
      </c>
    </row>
    <row r="10" customFormat="false" ht="15" hidden="false" customHeight="false" outlineLevel="0" collapsed="false">
      <c r="A10" s="2" t="s">
        <v>13</v>
      </c>
      <c r="B10" s="2"/>
    </row>
    <row r="11" customFormat="false" ht="15" hidden="false" customHeight="false" outlineLevel="0" collapsed="false">
      <c r="A11" s="3" t="s">
        <v>14</v>
      </c>
      <c r="B11" s="4" t="s">
        <v>15</v>
      </c>
    </row>
    <row r="12" customFormat="false" ht="64.9" hidden="false" customHeight="false" outlineLevel="0" collapsed="false">
      <c r="A12" s="3" t="s">
        <v>16</v>
      </c>
      <c r="B12" s="4" t="s">
        <v>17</v>
      </c>
    </row>
    <row r="13" customFormat="false" ht="39.55" hidden="false" customHeight="false" outlineLevel="0" collapsed="false">
      <c r="A13" s="3" t="s">
        <v>18</v>
      </c>
      <c r="B13" s="4" t="s">
        <v>19</v>
      </c>
    </row>
    <row r="14" customFormat="false" ht="15" hidden="false" customHeight="false" outlineLevel="0" collapsed="false">
      <c r="A14" s="2" t="s">
        <v>20</v>
      </c>
      <c r="B14" s="2"/>
    </row>
    <row r="15" customFormat="false" ht="15" hidden="false" customHeight="false" outlineLevel="0" collapsed="false">
      <c r="A15" s="3" t="s">
        <v>21</v>
      </c>
      <c r="B15" s="4" t="s">
        <v>22</v>
      </c>
    </row>
    <row r="16" customFormat="false" ht="15" hidden="false" customHeight="false" outlineLevel="0" collapsed="false">
      <c r="A16" s="3" t="s">
        <v>23</v>
      </c>
      <c r="B16" s="4" t="s">
        <v>24</v>
      </c>
    </row>
    <row r="17" customFormat="false" ht="26.85" hidden="false" customHeight="false" outlineLevel="0" collapsed="false">
      <c r="A17" s="3" t="s">
        <v>25</v>
      </c>
      <c r="B17" s="4" t="s">
        <v>26</v>
      </c>
    </row>
    <row r="18" customFormat="false" ht="26.85" hidden="false" customHeight="false" outlineLevel="0" collapsed="false">
      <c r="A18" s="3" t="s">
        <v>27</v>
      </c>
      <c r="B18" s="4" t="s">
        <v>28</v>
      </c>
    </row>
    <row r="19" customFormat="false" ht="26.85" hidden="false" customHeight="false" outlineLevel="0" collapsed="false">
      <c r="A19" s="3" t="s">
        <v>29</v>
      </c>
      <c r="B19" s="4" t="s">
        <v>30</v>
      </c>
    </row>
    <row r="20" customFormat="false" ht="15" hidden="false" customHeight="false" outlineLevel="0" collapsed="false">
      <c r="A20" s="2" t="s">
        <v>31</v>
      </c>
      <c r="B20" s="2"/>
    </row>
    <row r="21" customFormat="false" ht="15" hidden="false" customHeight="false" outlineLevel="0" collapsed="false">
      <c r="A21" s="3" t="s">
        <v>32</v>
      </c>
      <c r="B21" s="4" t="s">
        <v>33</v>
      </c>
    </row>
    <row r="22" customFormat="false" ht="26.85" hidden="false" customHeight="false" outlineLevel="0" collapsed="false">
      <c r="A22" s="3" t="s">
        <v>34</v>
      </c>
      <c r="B22" s="4" t="s">
        <v>35</v>
      </c>
    </row>
    <row r="23" customFormat="false" ht="15" hidden="false" customHeight="false" outlineLevel="0" collapsed="false">
      <c r="A23" s="2" t="s">
        <v>36</v>
      </c>
      <c r="B23" s="2"/>
    </row>
    <row r="24" customFormat="false" ht="64.9" hidden="false" customHeight="false" outlineLevel="0" collapsed="false">
      <c r="A24" s="3" t="s">
        <v>37</v>
      </c>
      <c r="B24" s="4" t="s">
        <v>38</v>
      </c>
    </row>
    <row r="25" customFormat="false" ht="15" hidden="false" customHeight="false" outlineLevel="0" collapsed="false">
      <c r="A25" s="2" t="s">
        <v>39</v>
      </c>
      <c r="B25" s="2"/>
    </row>
    <row r="26" customFormat="false" ht="26.85" hidden="false" customHeight="false" outlineLevel="0" collapsed="false">
      <c r="A26" s="3" t="s">
        <v>39</v>
      </c>
      <c r="B26" s="4" t="s">
        <v>40</v>
      </c>
    </row>
  </sheetData>
  <mergeCells count="8">
    <mergeCell ref="A1:B1"/>
    <mergeCell ref="A3:B3"/>
    <mergeCell ref="A7:B7"/>
    <mergeCell ref="A10:B10"/>
    <mergeCell ref="A14:B14"/>
    <mergeCell ref="A20:B20"/>
    <mergeCell ref="A23:B23"/>
    <mergeCell ref="A25:B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H22" activeCellId="0" sqref="H2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34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9" min="8" style="0" width="30"/>
    <col collapsed="false" customWidth="true" hidden="false" outlineLevel="0" max="10" min="10" style="0" width="46"/>
    <col collapsed="false" customWidth="true" hidden="false" outlineLevel="0" max="11" min="11" style="0" width="42"/>
    <col collapsed="false" customWidth="true" hidden="false" outlineLevel="0" max="13" min="12" style="0" width="11"/>
    <col collapsed="false" customWidth="true" hidden="false" outlineLevel="0" max="14" min="14" style="0" width="24"/>
  </cols>
  <sheetData>
    <row r="1" customFormat="false" ht="30" hidden="false" customHeight="true" outlineLevel="0" collapsed="false">
      <c r="A1" s="5" t="s">
        <v>41</v>
      </c>
      <c r="B1" s="5" t="s">
        <v>42</v>
      </c>
      <c r="C1" s="5" t="s">
        <v>43</v>
      </c>
      <c r="D1" s="5" t="s">
        <v>44</v>
      </c>
      <c r="E1" s="5" t="s">
        <v>45</v>
      </c>
      <c r="F1" s="5" t="s">
        <v>46</v>
      </c>
      <c r="G1" s="5" t="s">
        <v>47</v>
      </c>
      <c r="H1" s="5" t="s">
        <v>48</v>
      </c>
      <c r="I1" s="5" t="s">
        <v>49</v>
      </c>
      <c r="J1" s="5" t="s">
        <v>50</v>
      </c>
      <c r="K1" s="5" t="s">
        <v>51</v>
      </c>
      <c r="L1" s="5" t="s">
        <v>52</v>
      </c>
      <c r="M1" s="5" t="s">
        <v>53</v>
      </c>
      <c r="N1" s="5" t="s">
        <v>54</v>
      </c>
    </row>
    <row r="2" customFormat="false" ht="26.85" hidden="false" customHeight="false" outlineLevel="0" collapsed="false">
      <c r="A2" s="6" t="s">
        <v>55</v>
      </c>
      <c r="B2" s="4" t="s">
        <v>56</v>
      </c>
      <c r="C2" s="4" t="s">
        <v>57</v>
      </c>
      <c r="D2" s="4" t="s">
        <v>58</v>
      </c>
      <c r="E2" s="6" t="s">
        <v>59</v>
      </c>
      <c r="F2" s="4" t="s">
        <v>60</v>
      </c>
      <c r="G2" s="4" t="s">
        <v>61</v>
      </c>
      <c r="H2" s="4" t="s">
        <v>62</v>
      </c>
      <c r="I2" s="4" t="s">
        <v>63</v>
      </c>
      <c r="J2" s="4" t="s">
        <v>64</v>
      </c>
      <c r="K2" s="4" t="s">
        <v>65</v>
      </c>
      <c r="L2" s="6" t="s">
        <v>66</v>
      </c>
      <c r="M2" s="6" t="s">
        <v>67</v>
      </c>
      <c r="N2" s="4"/>
    </row>
    <row r="3" customFormat="false" ht="39.55" hidden="false" customHeight="false" outlineLevel="0" collapsed="false">
      <c r="A3" s="6" t="s">
        <v>68</v>
      </c>
      <c r="B3" s="4" t="s">
        <v>56</v>
      </c>
      <c r="C3" s="4" t="s">
        <v>57</v>
      </c>
      <c r="D3" s="4" t="s">
        <v>69</v>
      </c>
      <c r="E3" s="6" t="s">
        <v>70</v>
      </c>
      <c r="F3" s="4" t="s">
        <v>71</v>
      </c>
      <c r="G3" s="4" t="s">
        <v>72</v>
      </c>
      <c r="H3" s="4" t="s">
        <v>73</v>
      </c>
      <c r="I3" s="4" t="s">
        <v>74</v>
      </c>
      <c r="J3" s="4" t="s">
        <v>75</v>
      </c>
      <c r="K3" s="4" t="s">
        <v>76</v>
      </c>
      <c r="L3" s="6" t="s">
        <v>66</v>
      </c>
      <c r="M3" s="6" t="s">
        <v>67</v>
      </c>
      <c r="N3" s="4"/>
    </row>
    <row r="4" customFormat="false" ht="39.55" hidden="false" customHeight="false" outlineLevel="0" collapsed="false">
      <c r="A4" s="6" t="s">
        <v>77</v>
      </c>
      <c r="B4" s="4" t="s">
        <v>78</v>
      </c>
      <c r="C4" s="4" t="s">
        <v>79</v>
      </c>
      <c r="D4" s="4" t="s">
        <v>80</v>
      </c>
      <c r="E4" s="6" t="s">
        <v>59</v>
      </c>
      <c r="F4" s="4" t="s">
        <v>81</v>
      </c>
      <c r="G4" s="4" t="s">
        <v>61</v>
      </c>
      <c r="H4" s="4" t="s">
        <v>82</v>
      </c>
      <c r="I4" s="4" t="s">
        <v>83</v>
      </c>
      <c r="J4" s="4" t="s">
        <v>84</v>
      </c>
      <c r="K4" s="4" t="s">
        <v>85</v>
      </c>
      <c r="L4" s="6" t="s">
        <v>66</v>
      </c>
      <c r="M4" s="6" t="s">
        <v>67</v>
      </c>
      <c r="N4" s="4"/>
    </row>
    <row r="5" customFormat="false" ht="39.55" hidden="false" customHeight="false" outlineLevel="0" collapsed="false">
      <c r="A5" s="6" t="s">
        <v>86</v>
      </c>
      <c r="B5" s="4" t="s">
        <v>87</v>
      </c>
      <c r="C5" s="4" t="s">
        <v>88</v>
      </c>
      <c r="D5" s="4" t="s">
        <v>89</v>
      </c>
      <c r="E5" s="6" t="s">
        <v>59</v>
      </c>
      <c r="F5" s="4" t="s">
        <v>90</v>
      </c>
      <c r="G5" s="4" t="s">
        <v>61</v>
      </c>
      <c r="H5" s="4" t="s">
        <v>73</v>
      </c>
      <c r="I5" s="4" t="s">
        <v>91</v>
      </c>
      <c r="J5" s="4" t="s">
        <v>92</v>
      </c>
      <c r="K5" s="4" t="s">
        <v>93</v>
      </c>
      <c r="L5" s="6" t="s">
        <v>66</v>
      </c>
      <c r="M5" s="6" t="s">
        <v>67</v>
      </c>
      <c r="N5" s="4"/>
    </row>
    <row r="6" customFormat="false" ht="64.9" hidden="false" customHeight="false" outlineLevel="0" collapsed="false">
      <c r="A6" s="6" t="s">
        <v>94</v>
      </c>
      <c r="B6" s="4" t="s">
        <v>87</v>
      </c>
      <c r="C6" s="4" t="s">
        <v>88</v>
      </c>
      <c r="D6" s="4" t="s">
        <v>95</v>
      </c>
      <c r="E6" s="6" t="s">
        <v>59</v>
      </c>
      <c r="F6" s="4" t="s">
        <v>90</v>
      </c>
      <c r="G6" s="4" t="s">
        <v>61</v>
      </c>
      <c r="H6" s="4" t="s">
        <v>73</v>
      </c>
      <c r="I6" s="4" t="s">
        <v>96</v>
      </c>
      <c r="J6" s="4" t="s">
        <v>97</v>
      </c>
      <c r="K6" s="4" t="s">
        <v>98</v>
      </c>
      <c r="L6" s="6" t="s">
        <v>66</v>
      </c>
      <c r="M6" s="6" t="s">
        <v>67</v>
      </c>
      <c r="N6" s="4"/>
    </row>
    <row r="7" customFormat="false" ht="39.55" hidden="false" customHeight="false" outlineLevel="0" collapsed="false">
      <c r="A7" s="6" t="s">
        <v>99</v>
      </c>
      <c r="B7" s="4" t="s">
        <v>100</v>
      </c>
      <c r="C7" s="4" t="s">
        <v>101</v>
      </c>
      <c r="D7" s="4" t="s">
        <v>102</v>
      </c>
      <c r="E7" s="6" t="s">
        <v>59</v>
      </c>
      <c r="F7" s="4" t="s">
        <v>90</v>
      </c>
      <c r="G7" s="4" t="s">
        <v>61</v>
      </c>
      <c r="H7" s="4" t="s">
        <v>103</v>
      </c>
      <c r="I7" s="4" t="s">
        <v>104</v>
      </c>
      <c r="J7" s="4" t="s">
        <v>105</v>
      </c>
      <c r="K7" s="4" t="s">
        <v>106</v>
      </c>
      <c r="L7" s="6" t="s">
        <v>66</v>
      </c>
      <c r="M7" s="6" t="s">
        <v>67</v>
      </c>
      <c r="N7" s="4"/>
    </row>
    <row r="8" customFormat="false" ht="39.55" hidden="false" customHeight="false" outlineLevel="0" collapsed="false">
      <c r="A8" s="6" t="s">
        <v>107</v>
      </c>
      <c r="B8" s="4" t="s">
        <v>100</v>
      </c>
      <c r="C8" s="4" t="s">
        <v>101</v>
      </c>
      <c r="D8" s="4" t="s">
        <v>108</v>
      </c>
      <c r="E8" s="6" t="s">
        <v>59</v>
      </c>
      <c r="F8" s="4" t="s">
        <v>109</v>
      </c>
      <c r="G8" s="4" t="s">
        <v>72</v>
      </c>
      <c r="H8" s="4" t="s">
        <v>62</v>
      </c>
      <c r="I8" s="4" t="s">
        <v>110</v>
      </c>
      <c r="J8" s="4" t="s">
        <v>111</v>
      </c>
      <c r="K8" s="4" t="s">
        <v>112</v>
      </c>
      <c r="L8" s="6" t="s">
        <v>66</v>
      </c>
      <c r="M8" s="6" t="s">
        <v>67</v>
      </c>
      <c r="N8" s="4"/>
    </row>
    <row r="9" customFormat="false" ht="39.55" hidden="false" customHeight="false" outlineLevel="0" collapsed="false">
      <c r="A9" s="6" t="s">
        <v>113</v>
      </c>
      <c r="B9" s="4" t="s">
        <v>114</v>
      </c>
      <c r="C9" s="4" t="s">
        <v>115</v>
      </c>
      <c r="D9" s="4" t="s">
        <v>116</v>
      </c>
      <c r="E9" s="6" t="s">
        <v>70</v>
      </c>
      <c r="F9" s="4" t="s">
        <v>81</v>
      </c>
      <c r="G9" s="4" t="s">
        <v>72</v>
      </c>
      <c r="H9" s="4" t="s">
        <v>117</v>
      </c>
      <c r="I9" s="4" t="s">
        <v>118</v>
      </c>
      <c r="J9" s="4" t="s">
        <v>119</v>
      </c>
      <c r="K9" s="4" t="s">
        <v>120</v>
      </c>
      <c r="L9" s="6" t="s">
        <v>66</v>
      </c>
      <c r="M9" s="6" t="s">
        <v>67</v>
      </c>
      <c r="N9" s="4"/>
    </row>
    <row r="10" customFormat="false" ht="90.25" hidden="false" customHeight="false" outlineLevel="0" collapsed="false">
      <c r="A10" s="6" t="s">
        <v>121</v>
      </c>
      <c r="B10" s="4" t="s">
        <v>114</v>
      </c>
      <c r="C10" s="4" t="s">
        <v>115</v>
      </c>
      <c r="D10" s="4" t="s">
        <v>122</v>
      </c>
      <c r="E10" s="6" t="s">
        <v>70</v>
      </c>
      <c r="F10" s="4" t="s">
        <v>123</v>
      </c>
      <c r="G10" s="4" t="s">
        <v>72</v>
      </c>
      <c r="H10" s="4" t="s">
        <v>124</v>
      </c>
      <c r="I10" s="4" t="s">
        <v>125</v>
      </c>
      <c r="J10" s="4" t="s">
        <v>126</v>
      </c>
      <c r="K10" s="4" t="s">
        <v>127</v>
      </c>
      <c r="L10" s="6" t="s">
        <v>66</v>
      </c>
      <c r="M10" s="6" t="s">
        <v>67</v>
      </c>
      <c r="N10" s="4"/>
    </row>
    <row r="11" customFormat="false" ht="39.55" hidden="false" customHeight="false" outlineLevel="0" collapsed="false">
      <c r="A11" s="6" t="s">
        <v>128</v>
      </c>
      <c r="B11" s="4" t="s">
        <v>114</v>
      </c>
      <c r="C11" s="4" t="s">
        <v>115</v>
      </c>
      <c r="D11" s="4" t="s">
        <v>129</v>
      </c>
      <c r="E11" s="6" t="s">
        <v>130</v>
      </c>
      <c r="F11" s="4" t="s">
        <v>131</v>
      </c>
      <c r="G11" s="4" t="s">
        <v>72</v>
      </c>
      <c r="H11" s="4" t="s">
        <v>124</v>
      </c>
      <c r="I11" s="4" t="s">
        <v>132</v>
      </c>
      <c r="J11" s="4" t="s">
        <v>133</v>
      </c>
      <c r="K11" s="4" t="s">
        <v>134</v>
      </c>
      <c r="L11" s="6" t="s">
        <v>66</v>
      </c>
      <c r="M11" s="6" t="s">
        <v>67</v>
      </c>
      <c r="N11" s="4"/>
    </row>
    <row r="12" customFormat="false" ht="39.55" hidden="false" customHeight="false" outlineLevel="0" collapsed="false">
      <c r="A12" s="6" t="s">
        <v>135</v>
      </c>
      <c r="B12" s="4" t="s">
        <v>56</v>
      </c>
      <c r="C12" s="4" t="s">
        <v>57</v>
      </c>
      <c r="D12" s="4" t="s">
        <v>136</v>
      </c>
      <c r="E12" s="6" t="s">
        <v>130</v>
      </c>
      <c r="F12" s="4" t="s">
        <v>137</v>
      </c>
      <c r="G12" s="4" t="s">
        <v>72</v>
      </c>
      <c r="H12" s="4" t="s">
        <v>117</v>
      </c>
      <c r="I12" s="4" t="s">
        <v>138</v>
      </c>
      <c r="J12" s="4" t="s">
        <v>139</v>
      </c>
      <c r="K12" s="4" t="s">
        <v>140</v>
      </c>
      <c r="L12" s="6" t="s">
        <v>66</v>
      </c>
      <c r="M12" s="6" t="s">
        <v>67</v>
      </c>
      <c r="N12" s="4"/>
    </row>
    <row r="13" customFormat="false" ht="52.2" hidden="false" customHeight="false" outlineLevel="0" collapsed="false">
      <c r="A13" s="6" t="s">
        <v>141</v>
      </c>
      <c r="B13" s="4" t="s">
        <v>142</v>
      </c>
      <c r="C13" s="4" t="s">
        <v>143</v>
      </c>
      <c r="D13" s="4" t="s">
        <v>144</v>
      </c>
      <c r="E13" s="6" t="s">
        <v>59</v>
      </c>
      <c r="F13" s="4" t="s">
        <v>143</v>
      </c>
      <c r="G13" s="4" t="s">
        <v>61</v>
      </c>
      <c r="H13" s="4" t="s">
        <v>145</v>
      </c>
      <c r="I13" s="4" t="s">
        <v>146</v>
      </c>
      <c r="J13" s="4" t="s">
        <v>147</v>
      </c>
      <c r="K13" s="4" t="s">
        <v>148</v>
      </c>
      <c r="L13" s="6" t="s">
        <v>66</v>
      </c>
      <c r="M13" s="6" t="s">
        <v>67</v>
      </c>
      <c r="N13" s="4"/>
    </row>
    <row r="14" customFormat="false" ht="52.2" hidden="false" customHeight="false" outlineLevel="0" collapsed="false">
      <c r="A14" s="6" t="s">
        <v>149</v>
      </c>
      <c r="B14" s="4" t="s">
        <v>78</v>
      </c>
      <c r="C14" s="4" t="s">
        <v>79</v>
      </c>
      <c r="D14" s="4" t="s">
        <v>150</v>
      </c>
      <c r="E14" s="6" t="s">
        <v>70</v>
      </c>
      <c r="F14" s="4" t="s">
        <v>151</v>
      </c>
      <c r="G14" s="4" t="s">
        <v>72</v>
      </c>
      <c r="H14" s="4" t="s">
        <v>103</v>
      </c>
      <c r="I14" s="4" t="s">
        <v>152</v>
      </c>
      <c r="J14" s="4" t="s">
        <v>153</v>
      </c>
      <c r="K14" s="4" t="s">
        <v>154</v>
      </c>
      <c r="L14" s="6" t="s">
        <v>66</v>
      </c>
      <c r="M14" s="6" t="s">
        <v>67</v>
      </c>
      <c r="N14" s="4"/>
    </row>
    <row r="15" customFormat="false" ht="64.9" hidden="false" customHeight="false" outlineLevel="0" collapsed="false">
      <c r="A15" s="6" t="s">
        <v>155</v>
      </c>
      <c r="B15" s="4" t="s">
        <v>156</v>
      </c>
      <c r="C15" s="4" t="s">
        <v>157</v>
      </c>
      <c r="D15" s="4" t="s">
        <v>158</v>
      </c>
      <c r="E15" s="6" t="s">
        <v>59</v>
      </c>
      <c r="F15" s="4" t="s">
        <v>159</v>
      </c>
      <c r="G15" s="4" t="s">
        <v>72</v>
      </c>
      <c r="H15" s="4" t="s">
        <v>160</v>
      </c>
      <c r="I15" s="4" t="s">
        <v>161</v>
      </c>
      <c r="J15" s="4" t="s">
        <v>162</v>
      </c>
      <c r="K15" s="4" t="s">
        <v>163</v>
      </c>
      <c r="L15" s="6" t="s">
        <v>66</v>
      </c>
      <c r="M15" s="6" t="s">
        <v>67</v>
      </c>
      <c r="N15" s="4"/>
    </row>
    <row r="16" customFormat="false" ht="64.9" hidden="false" customHeight="false" outlineLevel="0" collapsed="false">
      <c r="A16" s="6" t="s">
        <v>164</v>
      </c>
      <c r="B16" s="4" t="s">
        <v>156</v>
      </c>
      <c r="C16" s="4" t="s">
        <v>157</v>
      </c>
      <c r="D16" s="4" t="s">
        <v>165</v>
      </c>
      <c r="E16" s="6" t="s">
        <v>59</v>
      </c>
      <c r="F16" s="4" t="s">
        <v>159</v>
      </c>
      <c r="G16" s="4" t="s">
        <v>72</v>
      </c>
      <c r="H16" s="4" t="s">
        <v>160</v>
      </c>
      <c r="I16" s="4" t="s">
        <v>166</v>
      </c>
      <c r="J16" s="4" t="s">
        <v>167</v>
      </c>
      <c r="K16" s="4" t="s">
        <v>168</v>
      </c>
      <c r="L16" s="6" t="s">
        <v>66</v>
      </c>
      <c r="M16" s="6" t="s">
        <v>67</v>
      </c>
      <c r="N16" s="4"/>
    </row>
  </sheetData>
  <autoFilter ref="A1:N16"/>
  <conditionalFormatting sqref="E2:E16">
    <cfRule type="cellIs" priority="2" operator="equal" aboveAverage="0" equalAverage="0" bottom="0" percent="0" rank="0" text="" dxfId="7">
      <formula>"High"</formula>
    </cfRule>
    <cfRule type="cellIs" priority="3" operator="equal" aboveAverage="0" equalAverage="0" bottom="0" percent="0" rank="0" text="" dxfId="8">
      <formula>"Medium"</formula>
    </cfRule>
    <cfRule type="cellIs" priority="4" operator="equal" aboveAverage="0" equalAverage="0" bottom="0" percent="0" rank="0" text="" dxfId="9">
      <formula>"Low"</formula>
    </cfRule>
  </conditionalFormatting>
  <conditionalFormatting sqref="M2:M16">
    <cfRule type="cellIs" priority="5" operator="equal" aboveAverage="0" equalAverage="0" bottom="0" percent="0" rank="0" text="" dxfId="10">
      <formula>"Passed"</formula>
    </cfRule>
    <cfRule type="cellIs" priority="6" operator="equal" aboveAverage="0" equalAverage="0" bottom="0" percent="0" rank="0" text="" dxfId="11">
      <formula>"Failed"</formula>
    </cfRule>
    <cfRule type="cellIs" priority="7" operator="equal" aboveAverage="0" equalAverage="0" bottom="0" percent="0" rank="0" text="" dxfId="12">
      <formula>"Blocked"</formula>
    </cfRule>
  </conditionalFormatting>
  <dataValidations count="1">
    <dataValidation allowBlank="true" errorStyle="stop" operator="between" showDropDown="false" showErrorMessage="false" showInputMessage="false" sqref="M2:M16" type="list">
      <formula1>"Not run,Passed,Failed,Blocked"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7" t="s">
        <v>169</v>
      </c>
    </row>
    <row r="2" customFormat="false" ht="15" hidden="false" customHeight="false" outlineLevel="0" collapsed="false">
      <c r="A2" s="8" t="s">
        <v>170</v>
      </c>
    </row>
    <row r="4" customFormat="false" ht="15" hidden="false" customHeight="false" outlineLevel="0" collapsed="false">
      <c r="A4" s="5" t="s">
        <v>45</v>
      </c>
      <c r="B4" s="5" t="s">
        <v>171</v>
      </c>
    </row>
    <row r="5" customFormat="false" ht="15" hidden="false" customHeight="false" outlineLevel="0" collapsed="false">
      <c r="A5" s="4" t="s">
        <v>59</v>
      </c>
      <c r="B5" s="4" t="n">
        <f aca="false">COUNTIF('Test Cases'!$E$2:$E$16,A5)</f>
        <v>9</v>
      </c>
    </row>
    <row r="6" customFormat="false" ht="15" hidden="false" customHeight="false" outlineLevel="0" collapsed="false">
      <c r="A6" s="4" t="s">
        <v>70</v>
      </c>
      <c r="B6" s="4" t="n">
        <f aca="false">COUNTIF('Test Cases'!$E$2:$E$16,A6)</f>
        <v>4</v>
      </c>
    </row>
    <row r="7" customFormat="false" ht="15" hidden="false" customHeight="false" outlineLevel="0" collapsed="false">
      <c r="A7" s="4" t="s">
        <v>130</v>
      </c>
      <c r="B7" s="4" t="n">
        <f aca="false">COUNTIF('Test Cases'!$E$2:$E$16,A7)</f>
        <v>2</v>
      </c>
    </row>
    <row r="8" customFormat="false" ht="15" hidden="false" customHeight="false" outlineLevel="0" collapsed="false">
      <c r="A8" s="3" t="s">
        <v>172</v>
      </c>
      <c r="B8" s="3" t="n">
        <f aca="false">SUM(B5:B7)</f>
        <v>15</v>
      </c>
    </row>
    <row r="10" customFormat="false" ht="15" hidden="false" customHeight="false" outlineLevel="0" collapsed="false">
      <c r="A10" s="5" t="s">
        <v>43</v>
      </c>
      <c r="B10" s="5" t="s">
        <v>171</v>
      </c>
    </row>
    <row r="11" customFormat="false" ht="15" hidden="false" customHeight="false" outlineLevel="0" collapsed="false">
      <c r="A11" s="4" t="s">
        <v>57</v>
      </c>
      <c r="B11" s="4" t="n">
        <f aca="false">COUNTIF('Test Cases'!$C$2:$C$16,A11)</f>
        <v>3</v>
      </c>
    </row>
    <row r="12" customFormat="false" ht="15" hidden="false" customHeight="false" outlineLevel="0" collapsed="false">
      <c r="A12" s="4" t="s">
        <v>79</v>
      </c>
      <c r="B12" s="4" t="n">
        <f aca="false">COUNTIF('Test Cases'!$C$2:$C$16,A12)</f>
        <v>2</v>
      </c>
    </row>
    <row r="13" customFormat="false" ht="15" hidden="false" customHeight="false" outlineLevel="0" collapsed="false">
      <c r="A13" s="4" t="s">
        <v>88</v>
      </c>
      <c r="B13" s="4" t="n">
        <f aca="false">COUNTIF('Test Cases'!$C$2:$C$16,A13)</f>
        <v>2</v>
      </c>
    </row>
    <row r="14" customFormat="false" ht="15" hidden="false" customHeight="false" outlineLevel="0" collapsed="false">
      <c r="A14" s="4" t="s">
        <v>101</v>
      </c>
      <c r="B14" s="4" t="n">
        <f aca="false">COUNTIF('Test Cases'!$C$2:$C$16,A14)</f>
        <v>2</v>
      </c>
    </row>
    <row r="15" customFormat="false" ht="15" hidden="false" customHeight="false" outlineLevel="0" collapsed="false">
      <c r="A15" s="4" t="s">
        <v>115</v>
      </c>
      <c r="B15" s="4" t="n">
        <f aca="false">COUNTIF('Test Cases'!$C$2:$C$16,A15)</f>
        <v>3</v>
      </c>
    </row>
    <row r="16" customFormat="false" ht="15" hidden="false" customHeight="false" outlineLevel="0" collapsed="false">
      <c r="A16" s="4" t="s">
        <v>143</v>
      </c>
      <c r="B16" s="4" t="n">
        <f aca="false">COUNTIF('Test Cases'!$C$2:$C$16,A16)</f>
        <v>1</v>
      </c>
    </row>
    <row r="17" customFormat="false" ht="15" hidden="false" customHeight="false" outlineLevel="0" collapsed="false">
      <c r="A17" s="4" t="s">
        <v>157</v>
      </c>
      <c r="B17" s="4" t="n">
        <f aca="false">COUNTIF('Test Cases'!$C$2:$C$16,A17)</f>
        <v>2</v>
      </c>
    </row>
    <row r="18" customFormat="false" ht="15" hidden="false" customHeight="false" outlineLevel="0" collapsed="false">
      <c r="A18" s="3" t="s">
        <v>172</v>
      </c>
      <c r="B18" s="3" t="n">
        <f aca="false">SUM(B11:B17)</f>
        <v>15</v>
      </c>
    </row>
    <row r="20" customFormat="false" ht="15" hidden="false" customHeight="false" outlineLevel="0" collapsed="false">
      <c r="A20" s="5" t="s">
        <v>53</v>
      </c>
      <c r="B20" s="5" t="s">
        <v>171</v>
      </c>
    </row>
    <row r="21" customFormat="false" ht="15" hidden="false" customHeight="false" outlineLevel="0" collapsed="false">
      <c r="A21" s="4" t="s">
        <v>173</v>
      </c>
      <c r="B21" s="4" t="n">
        <f aca="false">COUNTIF('Test Cases'!$M$2:$M$16,A21)</f>
        <v>0</v>
      </c>
    </row>
    <row r="22" customFormat="false" ht="15" hidden="false" customHeight="false" outlineLevel="0" collapsed="false">
      <c r="A22" s="4" t="s">
        <v>67</v>
      </c>
      <c r="B22" s="4" t="n">
        <f aca="false">COUNTIF('Test Cases'!$M$2:$M$16,A22)</f>
        <v>15</v>
      </c>
    </row>
    <row r="23" customFormat="false" ht="15" hidden="false" customHeight="false" outlineLevel="0" collapsed="false">
      <c r="A23" s="4" t="s">
        <v>174</v>
      </c>
      <c r="B23" s="4" t="n">
        <f aca="false">COUNTIF('Test Cases'!$M$2:$M$16,A23)</f>
        <v>0</v>
      </c>
    </row>
    <row r="24" customFormat="false" ht="15" hidden="false" customHeight="false" outlineLevel="0" collapsed="false">
      <c r="A24" s="4" t="s">
        <v>175</v>
      </c>
      <c r="B24" s="4" t="n">
        <f aca="false">COUNTIF('Test Cases'!$M$2:$M$16,A24)</f>
        <v>0</v>
      </c>
    </row>
    <row r="25" customFormat="false" ht="15" hidden="false" customHeight="false" outlineLevel="0" collapsed="false">
      <c r="A25" s="3" t="s">
        <v>172</v>
      </c>
      <c r="B25" s="3" t="n">
        <f aca="false">SUM(B21:B24)</f>
        <v>15</v>
      </c>
    </row>
    <row r="27" customFormat="false" ht="15" hidden="false" customHeight="false" outlineLevel="0" collapsed="false">
      <c r="A27" s="3" t="s">
        <v>176</v>
      </c>
      <c r="B27" s="9" t="n">
        <f aca="false">IFERROR(COUNTIF('Test Cases'!$M$2:$M$16,"Passed")/COUNTA('Test Cases'!$A$2:$A$16),0)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2026-10-22T10:02:58Z</dcterms:created>
  <dc:creator>openpyxl</dc:creator>
  <dc:description/>
  <dc:language>en-US</dc:language>
  <cp:lastModifiedBy/>
  <dcterms:modified xsi:type="dcterms:W3CDTF">2026-10-22T13:36:25Z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