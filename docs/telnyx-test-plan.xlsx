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Plan" sheetId="1" state="visible" r:id="rId3"/>
    <sheet name="Test Cases" sheetId="2" state="visible" r:id="rId4"/>
    <sheet name="Summary" sheetId="3" state="visible" r:id="rId5"/>
  </sheets>
  <definedNames>
    <definedName function="false" hidden="true" localSheetId="1" name="_xlnm._FilterDatabase" vbProcedure="false">'Test Cases'!$A$1:$O$16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<sst xmlns="http://schemas.openxmlformats.org/spreadsheetml/2006/main" count="293" uniqueCount="180">
  <si>
    <t xml:space="preserve">Telnyx.com UI Test Plan — Cypress + Cucumber</t>
  </si>
  <si>
    <t xml:space="preserve">General</t>
  </si>
  <si>
    <t xml:space="preserve">Project</t>
  </si>
  <si>
    <t xml:space="preserve">UI test automation for the public website https://telnyx.com</t>
  </si>
  <si>
    <t xml:space="preserve">Version / Date</t>
  </si>
  <si>
    <t xml:space="preserve">1.1 / 2026-10-23</t>
  </si>
  <si>
    <t xml:space="preserve">Objective</t>
  </si>
  <si>
    <t xml:space="preserve">Verify that the key public pages and user flows of telnyx.com (homepage, header navigation, authentication entry points, pricing, footer, mobile navigation, sign-up form validation) work as expected, and automate these checks with Cypress + Cucumber in a CI pipeline.</t>
  </si>
  <si>
    <t xml:space="preserve">Scope</t>
  </si>
  <si>
    <t xml:space="preserve">In scope</t>
  </si>
  <si>
    <t xml:space="preserve">• Homepage loading, logo, document title
• Desktop header navigation and dropdown behaviour
• Sign up and Log in entry points
• Pricing page navigation and plan sections
• Footer sections and social media links
• Mobile navigation menu (375 × 812)
• Client-side validation of the Sign up form</t>
  </si>
  <si>
    <t xml:space="preserve">Out of scope</t>
  </si>
  <si>
    <t xml:space="preserve">• Creating real accounts, logging in with real credentials
• Bypassing CAPTCHA / anti-bot protection
• Telnyx portal functionality behind login
• Performance, load, security and API testing
• Exact marketing copy and exact pricing values (volatile content)</t>
  </si>
  <si>
    <t xml:space="preserve">Approach</t>
  </si>
  <si>
    <t xml:space="preserve">Test types</t>
  </si>
  <si>
    <t xml:space="preserve">Smoke, UI, navigation, links/attributes, interaction, responsive, form validation (functional black-box UI testing).</t>
  </si>
  <si>
    <t xml:space="preserve">Automation design</t>
  </si>
  <si>
    <t xml:space="preserve">• BDD: Gherkin .feature files grouped by site area + step definitions
• Page Object pattern: pages extend BasePage; the site-wide header and footer are separate components
• Test data (navigation items, social URLs, emails, expected messages) in Gherkin data tables and step parameters
• Tags: @TC-xxx for each test case, @smoke for the critical path, @regression for the full suite
• Links are found by their visible text, and the href is asserted separately
• Assertions target stable visible content and semantic attributes (href, target, aria-expanded)</t>
  </si>
  <si>
    <t xml:space="preserve">Known site behaviour</t>
  </si>
  <si>
    <t xml:space="preserve">telnyx.com throws its own uncaught errors (document.modelContext SecurityError, cross-origin 'Script error.'). Only these are ignored in cypress/support/e2e.ts; any other application error still fails the test. The OneTrust cookie banner is suppressed by setting consent cookies before each test.</t>
  </si>
  <si>
    <t xml:space="preserve">Environment</t>
  </si>
  <si>
    <t xml:space="preserve">Application under test</t>
  </si>
  <si>
    <t xml:space="preserve">https://telnyx.com (production, public pages)</t>
  </si>
  <si>
    <t xml:space="preserve">Browsers</t>
  </si>
  <si>
    <t xml:space="preserve">Chrome (local runs and CI); desktop viewport 1440 × 900, mobile viewport 375 × 812 (Cypress iphone-x preset)</t>
  </si>
  <si>
    <t xml:space="preserve">Tools</t>
  </si>
  <si>
    <t xml:space="preserve">Node.js 24, Cypress, TypeScript, @badeball/cypress-cucumber-preprocessor, esbuild, Cucumber HTML report (built into the preprocessor), ESLint + Prettier, GitHub Actions, GitHub Pages</t>
  </si>
  <si>
    <t xml:space="preserve">Configuration</t>
  </si>
  <si>
    <t xml:space="preserve">Base config cypress.config.ts for local runs (no retries) plus cypress.ci.config.ts for GitHub Actions (longer timeouts, 2 retries), selected with --config-file.</t>
  </si>
  <si>
    <t xml:space="preserve">CI / Reporting</t>
  </si>
  <si>
    <t xml:space="preserve">GitHub Actions runs on push to main, pull requests and manual trigger: type check, lint, format check, tests. Screenshots and the HTML report are uploaded as artifacts on every run; on main the report is published to GitHub Pages.</t>
  </si>
  <si>
    <t xml:space="preserve">Criteria</t>
  </si>
  <si>
    <t xml:space="preserve">Entry criteria</t>
  </si>
  <si>
    <t xml:space="preserve">telnyx.com is reachable; test environment and dependencies installed; test cases reviewed.</t>
  </si>
  <si>
    <t xml:space="preserve">Exit criteria</t>
  </si>
  <si>
    <t xml:space="preserve">All 15 test cases automated; all High priority cases pass; failures are analysed and documented (site defect vs. test issue); report published to GitHub Pages.</t>
  </si>
  <si>
    <t xml:space="preserve">Risks</t>
  </si>
  <si>
    <t xml:space="preserve">Risks and mitigation</t>
  </si>
  <si>
    <t xml:space="preserve">• Live production site changes markup/content → stable selectors, Page Objects, no exact marketing copy
• Third-party scripts and A/B tests cause flakiness → targeted uncaught:exception handling, retries in CI run mode
• Cookie banner overlaps elements → OneTrust consent cookies are set before each test
• Cross-origin portal (portal.telnyx.com) → cy.origin
• Anti-bot protection on Sign up → validation only, form is never submitted with valid data</t>
  </si>
  <si>
    <t xml:space="preserve">Deliverables</t>
  </si>
  <si>
    <t xml:space="preserve">Test plan (this file), Cypress + Cucumber project on GitHub, GitHub Actions workflow, separate config file, HTML report on GitHub Pages</t>
  </si>
  <si>
    <t xml:space="preserve">ID</t>
  </si>
  <si>
    <t xml:space="preserve">Feature file</t>
  </si>
  <si>
    <t xml:space="preserve">Area</t>
  </si>
  <si>
    <t xml:space="preserve">Title</t>
  </si>
  <si>
    <t xml:space="preserve">Priority</t>
  </si>
  <si>
    <t xml:space="preserve">Type</t>
  </si>
  <si>
    <t xml:space="preserve">Tags</t>
  </si>
  <si>
    <t xml:space="preserve">Preconditions</t>
  </si>
  <si>
    <t xml:space="preserve">Test data</t>
  </si>
  <si>
    <t xml:space="preserve">Steps</t>
  </si>
  <si>
    <t xml:space="preserve">Expected result</t>
  </si>
  <si>
    <t xml:space="preserve">Automated</t>
  </si>
  <si>
    <t xml:space="preserve">Status</t>
  </si>
  <si>
    <t xml:space="preserve">Comments</t>
  </si>
  <si>
    <t xml:space="preserve">Last run</t>
  </si>
  <si>
    <t xml:space="preserve">TC-001</t>
  </si>
  <si>
    <t xml:space="preserve">homepage.feature</t>
  </si>
  <si>
    <t xml:space="preserve">Homepage</t>
  </si>
  <si>
    <t xml:space="preserve">Verify homepage loads successfully</t>
  </si>
  <si>
    <t xml:space="preserve">High</t>
  </si>
  <si>
    <t xml:space="preserve">Smoke</t>
  </si>
  <si>
    <t xml:space="preserve">@smoke @regression</t>
  </si>
  <si>
    <t xml:space="preserve">telnyx.com is reachable.</t>
  </si>
  <si>
    <t xml:space="preserve">URL: https://telnyx.com/</t>
  </si>
  <si>
    <t xml:space="preserve">1. Open https://telnyx.com/.
2. Check the URL, the site header and the main heading.</t>
  </si>
  <si>
    <t xml:space="preserve">The browser URL is https://telnyx.com/ and the site header and the main heading are displayed.</t>
  </si>
  <si>
    <t xml:space="preserve">Yes</t>
  </si>
  <si>
    <t xml:space="preserve">Passed</t>
  </si>
  <si>
    <t xml:space="preserve">2026-10-22, CI run #1</t>
  </si>
  <si>
    <t xml:space="preserve">TC-002</t>
  </si>
  <si>
    <t xml:space="preserve">Verify logo navigates to homepage</t>
  </si>
  <si>
    <t xml:space="preserve">Medium</t>
  </si>
  <si>
    <t xml:space="preserve">UI / Navigation</t>
  </si>
  <si>
    <t xml:space="preserve">@regression</t>
  </si>
  <si>
    <t xml:space="preserve">Pricing page is open; cookie banner is suppressed.</t>
  </si>
  <si>
    <t xml:space="preserve">Start page: /pricing</t>
  </si>
  <si>
    <t xml:space="preserve">1. Open https://telnyx.com/pricing.
2. Verify the Telnyx logo is visible in the site header.
3. Click the logo.</t>
  </si>
  <si>
    <t xml:space="preserve">Clicking the logo opens https://telnyx.com/ with the site header and the main heading displayed.</t>
  </si>
  <si>
    <t xml:space="preserve">TC-003</t>
  </si>
  <si>
    <t xml:space="preserve">header.feature</t>
  </si>
  <si>
    <t xml:space="preserve">Header</t>
  </si>
  <si>
    <t xml:space="preserve">Verify primary header navigation items are visible</t>
  </si>
  <si>
    <t xml:space="preserve">UI</t>
  </si>
  <si>
    <t xml:space="preserve">Homepage is open in desktop viewport.</t>
  </si>
  <si>
    <t xml:space="preserve">Products, Solutions, Pricing, Why Telnyx, Resources, Developers</t>
  </si>
  <si>
    <t xml:space="preserve">1. Locate the main header navigation.
2. Check each expected navigation item.</t>
  </si>
  <si>
    <t xml:space="preserve">The main navigation is visible and each expected item is displayed.</t>
  </si>
  <si>
    <t xml:space="preserve">TC-004</t>
  </si>
  <si>
    <t xml:space="preserve">auth.feature</t>
  </si>
  <si>
    <t xml:space="preserve">Authentication</t>
  </si>
  <si>
    <t xml:space="preserve">Verify Sign up opens the registration page</t>
  </si>
  <si>
    <t xml:space="preserve">Navigation</t>
  </si>
  <si>
    <t xml:space="preserve">Homepage is open; cookie banner is suppressed.</t>
  </si>
  <si>
    <t xml:space="preserve">Expected href: /sign-up
Expected heading: Create your account</t>
  </si>
  <si>
    <t xml:space="preserve">1. Find the Sign up link in the header by its text and check its href.
2. Click the link.
3. Check the page URL and heading.</t>
  </si>
  <si>
    <t xml:space="preserve">The link points to /sign-up, the URL contains '/sign-up' and the 'Create your account' heading is displayed.</t>
  </si>
  <si>
    <t xml:space="preserve">TC-005</t>
  </si>
  <si>
    <t xml:space="preserve">Verify Log in opens the Telnyx portal</t>
  </si>
  <si>
    <t xml:space="preserve">Expected href: https://portal.telnyx.com</t>
  </si>
  <si>
    <t xml:space="preserve">1. Find the Log in link in the header by its text; verify it is visible and points to https://portal.telnyx.com.
2. Click the link (opened in the same tab for the test).
3. Verify the portal sign-in page opens.</t>
  </si>
  <si>
    <t xml:space="preserve">The Log in link points to the Telnyx portal and navigation reaches portal.telnyx.com with the sign-in form displayed.</t>
  </si>
  <si>
    <t xml:space="preserve">TC-006</t>
  </si>
  <si>
    <t xml:space="preserve">pricing.feature</t>
  </si>
  <si>
    <t xml:space="preserve">Pricing</t>
  </si>
  <si>
    <t xml:space="preserve">Verify Pricing page opens from the header</t>
  </si>
  <si>
    <t xml:space="preserve">Homepage is open in desktop viewport; cookie banner is suppressed.</t>
  </si>
  <si>
    <t xml:space="preserve">Expected href: /pricing
Expected heading: Pay for what you use</t>
  </si>
  <si>
    <t xml:space="preserve">1. Open the Pricing menu in the header.
2. Find the View all pricing link by its text and check its href.
3. Click the link.
4. Check the page URL and heading.</t>
  </si>
  <si>
    <t xml:space="preserve">The link points to /pricing, the URL contains '/pricing' and the 'Pay for what you use.' heading is displayed.</t>
  </si>
  <si>
    <t xml:space="preserve">TC-007</t>
  </si>
  <si>
    <t xml:space="preserve">Verify pricing plan sections are displayed</t>
  </si>
  <si>
    <t xml:space="preserve">UI / Content</t>
  </si>
  <si>
    <t xml:space="preserve">Sections: Pay as you go, Growth, Enterprise</t>
  </si>
  <si>
    <t xml:space="preserve">1. Open https://telnyx.com/pricing.
2. Locate the Pay as you go, Growth and Enterprise plan sections.</t>
  </si>
  <si>
    <t xml:space="preserve">All three pricing plan sections are displayed.</t>
  </si>
  <si>
    <t xml:space="preserve">TC-008</t>
  </si>
  <si>
    <t xml:space="preserve">footer.feature</t>
  </si>
  <si>
    <t xml:space="preserve">Footer</t>
  </si>
  <si>
    <t xml:space="preserve">Verify footer sections are displayed</t>
  </si>
  <si>
    <t xml:space="preserve">Homepage is open.</t>
  </si>
  <si>
    <t xml:space="preserve">Sections: Social, Compare, Resources, Company</t>
  </si>
  <si>
    <t xml:space="preserve">1. Scroll to the footer.
2. Verify the footer is visible.
3. Check each expected section.</t>
  </si>
  <si>
    <t xml:space="preserve">The footer and each expected section are visible.</t>
  </si>
  <si>
    <t xml:space="preserve">TC-009</t>
  </si>
  <si>
    <t xml:space="preserve">Verify social media links have expected destinations</t>
  </si>
  <si>
    <t xml:space="preserve">Links</t>
  </si>
  <si>
    <t xml:space="preserve">Homepage is open; footer is reachable.</t>
  </si>
  <si>
    <t xml:space="preserve">LinkedIn: https://www.linkedin.com/company/telnyx
Facebook: https://www.facebook.com/Telnyx/
X: https://x.com/telnyx</t>
  </si>
  <si>
    <t xml:space="preserve">1. Scroll to the footer.
2. Check the LinkedIn, Facebook and X links.
3. Compare each href with the expected URL.</t>
  </si>
  <si>
    <t xml:space="preserve">Each social link is visible and has the expected destination URL.</t>
  </si>
  <si>
    <t xml:space="preserve">TC-010</t>
  </si>
  <si>
    <t xml:space="preserve">Verify social media links open in a new tab</t>
  </si>
  <si>
    <t xml:space="preserve">Low</t>
  </si>
  <si>
    <t xml:space="preserve">Links / Attributes</t>
  </si>
  <si>
    <t xml:space="preserve">Expected attribute: target='_blank'</t>
  </si>
  <si>
    <t xml:space="preserve">1. Scroll to the footer.
2. Inspect the LinkedIn, Facebook and X links.
3. Verify each link's target attribute.</t>
  </si>
  <si>
    <t xml:space="preserve">Each social link has target='_blank'.</t>
  </si>
  <si>
    <t xml:space="preserve">TC-011</t>
  </si>
  <si>
    <t xml:space="preserve">Verify homepage document title</t>
  </si>
  <si>
    <t xml:space="preserve">Metadata</t>
  </si>
  <si>
    <t xml:space="preserve">Expected substring: Telnyx</t>
  </si>
  <si>
    <t xml:space="preserve">1. Read the browser document title.</t>
  </si>
  <si>
    <t xml:space="preserve">The document title contains 'Telnyx' (the full title is not asserted: marketing copy changes).</t>
  </si>
  <si>
    <t xml:space="preserve">TC-012</t>
  </si>
  <si>
    <t xml:space="preserve">mobile.feature</t>
  </si>
  <si>
    <t xml:space="preserve">Responsive</t>
  </si>
  <si>
    <t xml:space="preserve">Verify mobile navigation menu opens</t>
  </si>
  <si>
    <t xml:space="preserve">Viewport is set to 375 × 812 (iphone-x); homepage is open; cookie banner is suppressed.</t>
  </si>
  <si>
    <t xml:space="preserve">Viewport: 375 × 812</t>
  </si>
  <si>
    <t xml:space="preserve">1. Open the homepage at mobile viewport size.
2. Verify the mobile menu button is visible and the menu is closed.
3. Open the mobile menu.
4. Verify the navigation menu is open.</t>
  </si>
  <si>
    <t xml:space="preserve">The mobile menu button is visible; after the click the menu state changes from closed to open and the navigation content is displayed.</t>
  </si>
  <si>
    <t xml:space="preserve">TC-013</t>
  </si>
  <si>
    <t xml:space="preserve">Verify opening another header dropdown closes the previous one</t>
  </si>
  <si>
    <t xml:space="preserve">Interaction</t>
  </si>
  <si>
    <t xml:space="preserve">Dropdowns: Products, Solutions</t>
  </si>
  <si>
    <t xml:space="preserve">1. Open the Products dropdown and verify it is expanded.
2. Open the Solutions dropdown.
3. Check the expanded state of both dropdowns.</t>
  </si>
  <si>
    <t xml:space="preserve">Solutions has aria-expanded='true' and Products has aria-expanded='false'.</t>
  </si>
  <si>
    <t xml:space="preserve">TC-014</t>
  </si>
  <si>
    <t xml:space="preserve">signup.feature</t>
  </si>
  <si>
    <t xml:space="preserve">Registration</t>
  </si>
  <si>
    <t xml:space="preserve">Verify required-field validation on Sign up form</t>
  </si>
  <si>
    <t xml:space="preserve">Validation</t>
  </si>
  <si>
    <t xml:space="preserve">Registration page is open; no real account is created.</t>
  </si>
  <si>
    <t xml:space="preserve">Email: (empty)
Terms checkbox: unchecked</t>
  </si>
  <si>
    <t xml:space="preserve">1. Leave the work email empty.
2. Leave the terms checkbox unchecked.
3. Click Create account.
4. Inspect the email and terms validation messages.</t>
  </si>
  <si>
    <t xml:space="preserve">Messages 'Please enter an email address.' and 'You must accept the Terms and Conditions.' are displayed; no account is created.</t>
  </si>
  <si>
    <t xml:space="preserve">TC-015</t>
  </si>
  <si>
    <t xml:space="preserve">Verify invalid email validation on Sign up form</t>
  </si>
  <si>
    <t xml:space="preserve">Email: test@examplecom
Terms checkbox: checked</t>
  </si>
  <si>
    <t xml:space="preserve">1. Accept the terms checkbox to isolate email validation.
2. Enter an invalid email.
3. Click Create account.
4. Inspect the email validation message.</t>
  </si>
  <si>
    <t xml:space="preserve">Message 'Please enter a valid email address.' is displayed; the form does not proceed to account creation.</t>
  </si>
  <si>
    <t xml:space="preserve">Test Summary</t>
  </si>
  <si>
    <t xml:space="preserve">Counts are COUNTIF formulas over the Priority, Area and Status columns of the Test Cases sheet.</t>
  </si>
  <si>
    <t xml:space="preserve">Test cases</t>
  </si>
  <si>
    <t xml:space="preserve">Total</t>
  </si>
  <si>
    <t xml:space="preserve">Not run</t>
  </si>
  <si>
    <t xml:space="preserve">Failed</t>
  </si>
  <si>
    <t xml:space="preserve">Blocked</t>
  </si>
  <si>
    <t xml:space="preserve">Pass rate</t>
  </si>
</sst>
</file>

<file path=xl/styles.xml><?xml version="1.0" encoding="utf-8"?>
<styleSheet xmlns="http://schemas.openxmlformats.org/spreadsheetml/2006/main">
  <numFmts count="2">
    <numFmt numFmtId="164" formatCode="General"/>
    <numFmt numFmtId="165" formatCode="0.0%"/>
  </numFmts>
  <fonts count="1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1F3864"/>
      <name val="Arial"/>
      <family val="0"/>
      <charset val="1"/>
    </font>
    <font>
      <b val="true"/>
      <sz val="11"/>
      <name val="Arial"/>
      <family val="0"/>
      <charset val="1"/>
    </font>
    <font>
      <sz val="11"/>
      <name val="Arial"/>
      <family val="0"/>
      <charset val="1"/>
    </font>
    <font>
      <b val="true"/>
      <sz val="11"/>
      <color rgb="FFFFFFFF"/>
      <name val="Arial"/>
      <family val="0"/>
      <charset val="1"/>
    </font>
    <font>
      <u val="single"/>
      <sz val="11"/>
      <color rgb="FF0563C1"/>
      <name val="Arial"/>
      <family val="0"/>
      <charset val="1"/>
    </font>
    <font>
      <b val="true"/>
      <sz val="14"/>
      <color rgb="FF1F3864"/>
      <name val="Arial"/>
      <family val="0"/>
      <charset val="1"/>
    </font>
    <font>
      <i val="true"/>
      <sz val="11"/>
      <color rgb="FF595959"/>
      <name val="Arial"/>
      <family val="0"/>
      <charset val="1"/>
    </font>
  </fonts>
  <fills count="4">
    <fill>
      <patternFill patternType="none"/>
    </fill>
    <fill>
      <patternFill patternType="gray125"/>
    </fill>
    <fill>
      <patternFill patternType="solid">
        <fgColor rgb="FFD9E1F2"/>
        <bgColor rgb="FFE2EFDA"/>
      </patternFill>
    </fill>
    <fill>
      <patternFill patternType="solid">
        <fgColor rgb="FF1F3864"/>
        <bgColor rgb="FF333333"/>
      </patternFill>
    </fill>
  </fills>
  <borders count="3">
    <border diagonalUp="false" diagonalDown="false">
      <left/>
      <right/>
      <top/>
      <bottom/>
      <diagonal/>
    </border>
    <border diagonalUp="false" diagonalDown="false">
      <left style="thin">
        <color rgb="FFA6A6A6"/>
      </left>
      <right/>
      <top style="thin">
        <color rgb="FFA6A6A6"/>
      </top>
      <bottom style="thin">
        <color rgb="FFA6A6A6"/>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6"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C6EFCE"/>
          <bgColor rgb="FF000000"/>
        </patternFill>
      </fill>
    </dxf>
    <dxf>
      <fill>
        <patternFill patternType="solid">
          <fgColor rgb="FF0563C1"/>
          <bgColor rgb="FF000000"/>
        </patternFill>
      </fill>
    </dxf>
    <dxf>
      <fill>
        <patternFill>
          <bgColor rgb="FFF8CBAD"/>
        </patternFill>
      </fill>
    </dxf>
    <dxf>
      <fill>
        <patternFill>
          <bgColor rgb="FFFFE699"/>
        </patternFill>
      </fill>
    </dxf>
    <dxf>
      <fill>
        <patternFill>
          <bgColor rgb="FFE2EFDA"/>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FC7CE"/>
      <rgbColor rgb="FF808080"/>
      <rgbColor rgb="FF9999FF"/>
      <rgbColor rgb="FF993366"/>
      <rgbColor rgb="FFE2EFDA"/>
      <rgbColor rgb="FFFFE699"/>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github.com/Z-F-R/telnyx-cypress-cucumber/actions/runs/39777777994" TargetMode="External"/><Relationship Id="rId2" Type="http://schemas.openxmlformats.org/officeDocument/2006/relationships/hyperlink" Target="https://github.com/Z-F-R/telnyx-cypress-cucumber/actions/runs/39777777994" TargetMode="External"/><Relationship Id="rId3" Type="http://schemas.openxmlformats.org/officeDocument/2006/relationships/hyperlink" Target="https://github.com/Z-F-R/telnyx-cypress-cucumber/actions/runs/39777777994" TargetMode="External"/><Relationship Id="rId4" Type="http://schemas.openxmlformats.org/officeDocument/2006/relationships/hyperlink" Target="https://github.com/Z-F-R/telnyx-cypress-cucumber/actions/runs/39777777994" TargetMode="External"/><Relationship Id="rId5" Type="http://schemas.openxmlformats.org/officeDocument/2006/relationships/hyperlink" Target="https://github.com/Z-F-R/telnyx-cypress-cucumber/actions/runs/39777777994" TargetMode="External"/><Relationship Id="rId6" Type="http://schemas.openxmlformats.org/officeDocument/2006/relationships/hyperlink" Target="https://github.com/Z-F-R/telnyx-cypress-cucumber/actions/runs/39777777994" TargetMode="External"/><Relationship Id="rId7" Type="http://schemas.openxmlformats.org/officeDocument/2006/relationships/hyperlink" Target="https://github.com/Z-F-R/telnyx-cypress-cucumber/actions/runs/39777777994" TargetMode="External"/><Relationship Id="rId8" Type="http://schemas.openxmlformats.org/officeDocument/2006/relationships/hyperlink" Target="https://github.com/Z-F-R/telnyx-cypress-cucumber/actions/runs/39777777994" TargetMode="External"/><Relationship Id="rId9" Type="http://schemas.openxmlformats.org/officeDocument/2006/relationships/hyperlink" Target="https://github.com/Z-F-R/telnyx-cypress-cucumber/actions/runs/39777777994" TargetMode="External"/><Relationship Id="rId10" Type="http://schemas.openxmlformats.org/officeDocument/2006/relationships/hyperlink" Target="https://github.com/Z-F-R/telnyx-cypress-cucumber/actions/runs/39777777994" TargetMode="External"/><Relationship Id="rId11" Type="http://schemas.openxmlformats.org/officeDocument/2006/relationships/hyperlink" Target="https://github.com/Z-F-R/telnyx-cypress-cucumber/actions/runs/39777777994" TargetMode="External"/><Relationship Id="rId12" Type="http://schemas.openxmlformats.org/officeDocument/2006/relationships/hyperlink" Target="https://github.com/Z-F-R/telnyx-cypress-cucumber/actions/runs/39777777994" TargetMode="External"/><Relationship Id="rId13" Type="http://schemas.openxmlformats.org/officeDocument/2006/relationships/hyperlink" Target="https://github.com/Z-F-R/telnyx-cypress-cucumber/actions/runs/39777777994" TargetMode="External"/><Relationship Id="rId14" Type="http://schemas.openxmlformats.org/officeDocument/2006/relationships/hyperlink" Target="https://github.com/Z-F-R/telnyx-cypress-cucumber/actions/runs/39777777994" TargetMode="External"/><Relationship Id="rId15" Type="http://schemas.openxmlformats.org/officeDocument/2006/relationships/hyperlink" Target="https://github.com/Z-F-R/telnyx-cypress-cucumber/actions/runs/39777777994" TargetMode="External"/><Relationship Id="rId16"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9.5" hidden="false" customHeight="true" outlineLevel="0" collapsed="false">
      <c r="A1" s="2" t="s">
        <v>0</v>
      </c>
      <c r="B1" s="2"/>
    </row>
    <row r="3" customFormat="false" ht="15" hidden="false" customHeight="true" outlineLevel="0" collapsed="false">
      <c r="A3" s="3" t="s">
        <v>1</v>
      </c>
      <c r="B3" s="3"/>
    </row>
    <row r="4" customFormat="false" ht="15" hidden="false" customHeight="true" outlineLevel="0" collapsed="false">
      <c r="A4" s="4" t="s">
        <v>2</v>
      </c>
      <c r="B4" s="5" t="s">
        <v>3</v>
      </c>
    </row>
    <row r="5" customFormat="false" ht="15" hidden="false" customHeight="true" outlineLevel="0" collapsed="false">
      <c r="A5" s="4" t="s">
        <v>4</v>
      </c>
      <c r="B5" s="5" t="s">
        <v>5</v>
      </c>
    </row>
    <row r="6" customFormat="false" ht="39" hidden="false" customHeight="true" outlineLevel="0" collapsed="false">
      <c r="A6" s="4" t="s">
        <v>6</v>
      </c>
      <c r="B6" s="5" t="s">
        <v>7</v>
      </c>
    </row>
    <row r="7" customFormat="false" ht="15" hidden="false" customHeight="true" outlineLevel="0" collapsed="false">
      <c r="A7" s="3" t="s">
        <v>8</v>
      </c>
      <c r="B7" s="3"/>
    </row>
    <row r="8" customFormat="false" ht="90" hidden="false" customHeight="true" outlineLevel="0" collapsed="false">
      <c r="A8" s="4" t="s">
        <v>9</v>
      </c>
      <c r="B8" s="5" t="s">
        <v>10</v>
      </c>
    </row>
    <row r="9" customFormat="false" ht="64.5" hidden="false" customHeight="true" outlineLevel="0" collapsed="false">
      <c r="A9" s="4" t="s">
        <v>11</v>
      </c>
      <c r="B9" s="5" t="s">
        <v>12</v>
      </c>
    </row>
    <row r="10" customFormat="false" ht="15" hidden="false" customHeight="true" outlineLevel="0" collapsed="false">
      <c r="A10" s="3" t="s">
        <v>13</v>
      </c>
      <c r="B10" s="3"/>
    </row>
    <row r="11" customFormat="false" ht="15" hidden="false" customHeight="true" outlineLevel="0" collapsed="false">
      <c r="A11" s="4" t="s">
        <v>14</v>
      </c>
      <c r="B11" s="5" t="s">
        <v>15</v>
      </c>
    </row>
    <row r="12" customFormat="false" ht="64.5" hidden="false" customHeight="true" outlineLevel="0" collapsed="false">
      <c r="A12" s="4" t="s">
        <v>16</v>
      </c>
      <c r="B12" s="5" t="s">
        <v>17</v>
      </c>
    </row>
    <row r="13" customFormat="false" ht="39" hidden="false" customHeight="true" outlineLevel="0" collapsed="false">
      <c r="A13" s="4" t="s">
        <v>18</v>
      </c>
      <c r="B13" s="5" t="s">
        <v>19</v>
      </c>
    </row>
    <row r="14" customFormat="false" ht="15" hidden="false" customHeight="true" outlineLevel="0" collapsed="false">
      <c r="A14" s="3" t="s">
        <v>20</v>
      </c>
      <c r="B14" s="3"/>
    </row>
    <row r="15" customFormat="false" ht="15" hidden="false" customHeight="true" outlineLevel="0" collapsed="false">
      <c r="A15" s="4" t="s">
        <v>21</v>
      </c>
      <c r="B15" s="5" t="s">
        <v>22</v>
      </c>
    </row>
    <row r="16" customFormat="false" ht="15"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3" t="s">
        <v>31</v>
      </c>
      <c r="B20" s="3"/>
    </row>
    <row r="21" customFormat="false" ht="15" hidden="false" customHeight="true" outlineLevel="0" collapsed="false">
      <c r="A21" s="4" t="s">
        <v>32</v>
      </c>
      <c r="B21" s="5" t="s">
        <v>33</v>
      </c>
    </row>
    <row r="22" customFormat="false" ht="26.25" hidden="false" customHeight="true" outlineLevel="0" collapsed="false">
      <c r="A22" s="4" t="s">
        <v>34</v>
      </c>
      <c r="B22" s="5" t="s">
        <v>35</v>
      </c>
    </row>
    <row r="23" customFormat="false" ht="15" hidden="false" customHeight="true" outlineLevel="0" collapsed="false">
      <c r="A23" s="3" t="s">
        <v>36</v>
      </c>
      <c r="B23" s="3"/>
    </row>
    <row r="24" customFormat="false" ht="64.5" hidden="false" customHeight="true" outlineLevel="0" collapsed="false">
      <c r="A24" s="4" t="s">
        <v>37</v>
      </c>
      <c r="B24" s="5" t="s">
        <v>38</v>
      </c>
    </row>
    <row r="25" customFormat="false" ht="15" hidden="false" customHeight="true" outlineLevel="0" collapsed="false">
      <c r="A25" s="3" t="s">
        <v>39</v>
      </c>
      <c r="B25" s="3"/>
    </row>
    <row r="26" customFormat="false" ht="26.25" hidden="false" customHeight="true" outlineLevel="0" collapsed="false">
      <c r="A26" s="4" t="s">
        <v>39</v>
      </c>
      <c r="B26" s="5" t="s">
        <v>40</v>
      </c>
    </row>
  </sheetData>
  <mergeCells count="8">
    <mergeCell ref="A1:B1"/>
    <mergeCell ref="A3:B3"/>
    <mergeCell ref="A7:B7"/>
    <mergeCell ref="A10:B10"/>
    <mergeCell ref="A14:B14"/>
    <mergeCell ref="A20:B20"/>
    <mergeCell ref="A23:B23"/>
    <mergeCell ref="A25:B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C2" activePane="bottomRight" state="frozen"/>
      <selection pane="topLeft" activeCell="A1" activeCellId="0" sqref="A1"/>
      <selection pane="topRight" activeCell="C1" activeCellId="0" sqref="C1"/>
      <selection pane="bottomLeft" activeCell="A2" activeCellId="0" sqref="A2"/>
      <selection pane="bottomRight" activeCell="H22" activeCellId="0" sqref="H22"/>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14"/>
    <col collapsed="false" customWidth="true" hidden="false" outlineLevel="0" max="4" min="4" style="1" width="34"/>
    <col collapsed="false" customWidth="true" hidden="false" outlineLevel="0" max="5" min="5" style="1" width="10"/>
    <col collapsed="false" customWidth="true" hidden="false" outlineLevel="0" max="6" min="6" style="1" width="14"/>
    <col collapsed="false" customWidth="true" hidden="false" outlineLevel="0" max="7" min="7" style="1" width="18"/>
    <col collapsed="false" customWidth="true" hidden="false" outlineLevel="0" max="9" min="8" style="1" width="30"/>
    <col collapsed="false" customWidth="true" hidden="false" outlineLevel="0" max="10" min="10" style="1" width="46"/>
    <col collapsed="false" customWidth="true" hidden="false" outlineLevel="0" max="11" min="11" style="1" width="42"/>
    <col collapsed="false" customWidth="true" hidden="false" outlineLevel="0" max="13" min="12" style="1" width="11"/>
    <col collapsed="false" customWidth="true" hidden="false" outlineLevel="0" max="14" min="14" style="1" width="24"/>
    <col collapsed="false" customWidth="true" hidden="false" outlineLevel="0" max="15" min="15" style="0" width="22"/>
  </cols>
  <sheetData>
    <row r="1" customFormat="false" ht="30" hidden="false" customHeight="true" outlineLevel="0" collapsed="false">
      <c r="A1" s="6" t="s">
        <v>41</v>
      </c>
      <c r="B1" s="6" t="s">
        <v>42</v>
      </c>
      <c r="C1" s="6" t="s">
        <v>43</v>
      </c>
      <c r="D1" s="6" t="s">
        <v>44</v>
      </c>
      <c r="E1" s="6" t="s">
        <v>45</v>
      </c>
      <c r="F1" s="6" t="s">
        <v>46</v>
      </c>
      <c r="G1" s="6" t="s">
        <v>47</v>
      </c>
      <c r="H1" s="6" t="s">
        <v>48</v>
      </c>
      <c r="I1" s="6" t="s">
        <v>49</v>
      </c>
      <c r="J1" s="6" t="s">
        <v>50</v>
      </c>
      <c r="K1" s="6" t="s">
        <v>51</v>
      </c>
      <c r="L1" s="6" t="s">
        <v>52</v>
      </c>
      <c r="M1" s="6" t="s">
        <v>53</v>
      </c>
      <c r="N1" s="6" t="s">
        <v>54</v>
      </c>
      <c r="O1" s="6" t="s">
        <v>55</v>
      </c>
    </row>
    <row r="2" customFormat="false" ht="26.25" hidden="false" customHeight="true" outlineLevel="0" collapsed="false">
      <c r="A2" s="7" t="s">
        <v>56</v>
      </c>
      <c r="B2" s="5" t="s">
        <v>57</v>
      </c>
      <c r="C2" s="5" t="s">
        <v>58</v>
      </c>
      <c r="D2" s="5" t="s">
        <v>59</v>
      </c>
      <c r="E2" s="7" t="s">
        <v>60</v>
      </c>
      <c r="F2" s="5" t="s">
        <v>61</v>
      </c>
      <c r="G2" s="5" t="s">
        <v>62</v>
      </c>
      <c r="H2" s="5" t="s">
        <v>63</v>
      </c>
      <c r="I2" s="5" t="s">
        <v>64</v>
      </c>
      <c r="J2" s="5" t="s">
        <v>65</v>
      </c>
      <c r="K2" s="5" t="s">
        <v>66</v>
      </c>
      <c r="L2" s="7" t="s">
        <v>67</v>
      </c>
      <c r="M2" s="7" t="s">
        <v>68</v>
      </c>
      <c r="N2" s="5"/>
      <c r="O2" s="8" t="s">
        <v>69</v>
      </c>
    </row>
    <row r="3" customFormat="false" ht="39" hidden="false" customHeight="true" outlineLevel="0" collapsed="false">
      <c r="A3" s="7" t="s">
        <v>70</v>
      </c>
      <c r="B3" s="5" t="s">
        <v>57</v>
      </c>
      <c r="C3" s="5" t="s">
        <v>58</v>
      </c>
      <c r="D3" s="5" t="s">
        <v>71</v>
      </c>
      <c r="E3" s="7" t="s">
        <v>72</v>
      </c>
      <c r="F3" s="5" t="s">
        <v>73</v>
      </c>
      <c r="G3" s="5" t="s">
        <v>74</v>
      </c>
      <c r="H3" s="5" t="s">
        <v>75</v>
      </c>
      <c r="I3" s="5" t="s">
        <v>76</v>
      </c>
      <c r="J3" s="5" t="s">
        <v>77</v>
      </c>
      <c r="K3" s="5" t="s">
        <v>78</v>
      </c>
      <c r="L3" s="7" t="s">
        <v>67</v>
      </c>
      <c r="M3" s="7" t="s">
        <v>68</v>
      </c>
      <c r="N3" s="5"/>
      <c r="O3" s="8" t="s">
        <v>69</v>
      </c>
    </row>
    <row r="4" customFormat="false" ht="39" hidden="false" customHeight="true" outlineLevel="0" collapsed="false">
      <c r="A4" s="7" t="s">
        <v>79</v>
      </c>
      <c r="B4" s="5" t="s">
        <v>80</v>
      </c>
      <c r="C4" s="5" t="s">
        <v>81</v>
      </c>
      <c r="D4" s="5" t="s">
        <v>82</v>
      </c>
      <c r="E4" s="7" t="s">
        <v>60</v>
      </c>
      <c r="F4" s="5" t="s">
        <v>83</v>
      </c>
      <c r="G4" s="5" t="s">
        <v>62</v>
      </c>
      <c r="H4" s="5" t="s">
        <v>84</v>
      </c>
      <c r="I4" s="5" t="s">
        <v>85</v>
      </c>
      <c r="J4" s="5" t="s">
        <v>86</v>
      </c>
      <c r="K4" s="5" t="s">
        <v>87</v>
      </c>
      <c r="L4" s="7" t="s">
        <v>67</v>
      </c>
      <c r="M4" s="7" t="s">
        <v>68</v>
      </c>
      <c r="N4" s="5"/>
      <c r="O4" s="8" t="s">
        <v>69</v>
      </c>
    </row>
    <row r="5" customFormat="false" ht="39" hidden="false" customHeight="true" outlineLevel="0" collapsed="false">
      <c r="A5" s="7" t="s">
        <v>88</v>
      </c>
      <c r="B5" s="5" t="s">
        <v>89</v>
      </c>
      <c r="C5" s="5" t="s">
        <v>90</v>
      </c>
      <c r="D5" s="5" t="s">
        <v>91</v>
      </c>
      <c r="E5" s="7" t="s">
        <v>60</v>
      </c>
      <c r="F5" s="5" t="s">
        <v>92</v>
      </c>
      <c r="G5" s="5" t="s">
        <v>62</v>
      </c>
      <c r="H5" s="5" t="s">
        <v>93</v>
      </c>
      <c r="I5" s="5" t="s">
        <v>94</v>
      </c>
      <c r="J5" s="5" t="s">
        <v>95</v>
      </c>
      <c r="K5" s="5" t="s">
        <v>96</v>
      </c>
      <c r="L5" s="7" t="s">
        <v>67</v>
      </c>
      <c r="M5" s="7" t="s">
        <v>68</v>
      </c>
      <c r="N5" s="5"/>
      <c r="O5" s="8" t="s">
        <v>69</v>
      </c>
    </row>
    <row r="6" customFormat="false" ht="64.5" hidden="false" customHeight="true" outlineLevel="0" collapsed="false">
      <c r="A6" s="7" t="s">
        <v>97</v>
      </c>
      <c r="B6" s="5" t="s">
        <v>89</v>
      </c>
      <c r="C6" s="5" t="s">
        <v>90</v>
      </c>
      <c r="D6" s="5" t="s">
        <v>98</v>
      </c>
      <c r="E6" s="7" t="s">
        <v>60</v>
      </c>
      <c r="F6" s="5" t="s">
        <v>92</v>
      </c>
      <c r="G6" s="5" t="s">
        <v>62</v>
      </c>
      <c r="H6" s="5" t="s">
        <v>93</v>
      </c>
      <c r="I6" s="5" t="s">
        <v>99</v>
      </c>
      <c r="J6" s="5" t="s">
        <v>100</v>
      </c>
      <c r="K6" s="5" t="s">
        <v>101</v>
      </c>
      <c r="L6" s="7" t="s">
        <v>67</v>
      </c>
      <c r="M6" s="7" t="s">
        <v>68</v>
      </c>
      <c r="N6" s="5"/>
      <c r="O6" s="8" t="s">
        <v>69</v>
      </c>
    </row>
    <row r="7" customFormat="false" ht="39" hidden="false" customHeight="true" outlineLevel="0" collapsed="false">
      <c r="A7" s="7" t="s">
        <v>102</v>
      </c>
      <c r="B7" s="5" t="s">
        <v>103</v>
      </c>
      <c r="C7" s="5" t="s">
        <v>104</v>
      </c>
      <c r="D7" s="5" t="s">
        <v>105</v>
      </c>
      <c r="E7" s="7" t="s">
        <v>60</v>
      </c>
      <c r="F7" s="5" t="s">
        <v>92</v>
      </c>
      <c r="G7" s="5" t="s">
        <v>62</v>
      </c>
      <c r="H7" s="5" t="s">
        <v>106</v>
      </c>
      <c r="I7" s="5" t="s">
        <v>107</v>
      </c>
      <c r="J7" s="5" t="s">
        <v>108</v>
      </c>
      <c r="K7" s="5" t="s">
        <v>109</v>
      </c>
      <c r="L7" s="7" t="s">
        <v>67</v>
      </c>
      <c r="M7" s="7" t="s">
        <v>68</v>
      </c>
      <c r="N7" s="5"/>
      <c r="O7" s="8" t="s">
        <v>69</v>
      </c>
    </row>
    <row r="8" customFormat="false" ht="39" hidden="false" customHeight="true" outlineLevel="0" collapsed="false">
      <c r="A8" s="7" t="s">
        <v>110</v>
      </c>
      <c r="B8" s="5" t="s">
        <v>103</v>
      </c>
      <c r="C8" s="5" t="s">
        <v>104</v>
      </c>
      <c r="D8" s="5" t="s">
        <v>111</v>
      </c>
      <c r="E8" s="7" t="s">
        <v>60</v>
      </c>
      <c r="F8" s="5" t="s">
        <v>112</v>
      </c>
      <c r="G8" s="5" t="s">
        <v>74</v>
      </c>
      <c r="H8" s="5" t="s">
        <v>63</v>
      </c>
      <c r="I8" s="5" t="s">
        <v>113</v>
      </c>
      <c r="J8" s="5" t="s">
        <v>114</v>
      </c>
      <c r="K8" s="5" t="s">
        <v>115</v>
      </c>
      <c r="L8" s="7" t="s">
        <v>67</v>
      </c>
      <c r="M8" s="7" t="s">
        <v>68</v>
      </c>
      <c r="N8" s="5"/>
      <c r="O8" s="8" t="s">
        <v>69</v>
      </c>
    </row>
    <row r="9" customFormat="false" ht="39" hidden="false" customHeight="true" outlineLevel="0" collapsed="false">
      <c r="A9" s="7" t="s">
        <v>116</v>
      </c>
      <c r="B9" s="5" t="s">
        <v>117</v>
      </c>
      <c r="C9" s="5" t="s">
        <v>118</v>
      </c>
      <c r="D9" s="5" t="s">
        <v>119</v>
      </c>
      <c r="E9" s="7" t="s">
        <v>72</v>
      </c>
      <c r="F9" s="5" t="s">
        <v>83</v>
      </c>
      <c r="G9" s="5" t="s">
        <v>74</v>
      </c>
      <c r="H9" s="5" t="s">
        <v>120</v>
      </c>
      <c r="I9" s="5" t="s">
        <v>121</v>
      </c>
      <c r="J9" s="5" t="s">
        <v>122</v>
      </c>
      <c r="K9" s="5" t="s">
        <v>123</v>
      </c>
      <c r="L9" s="7" t="s">
        <v>67</v>
      </c>
      <c r="M9" s="7" t="s">
        <v>68</v>
      </c>
      <c r="N9" s="5"/>
      <c r="O9" s="8" t="s">
        <v>69</v>
      </c>
    </row>
    <row r="10" customFormat="false" ht="90" hidden="false" customHeight="true" outlineLevel="0" collapsed="false">
      <c r="A10" s="7" t="s">
        <v>124</v>
      </c>
      <c r="B10" s="5" t="s">
        <v>117</v>
      </c>
      <c r="C10" s="5" t="s">
        <v>118</v>
      </c>
      <c r="D10" s="5" t="s">
        <v>125</v>
      </c>
      <c r="E10" s="7" t="s">
        <v>72</v>
      </c>
      <c r="F10" s="5" t="s">
        <v>126</v>
      </c>
      <c r="G10" s="5" t="s">
        <v>74</v>
      </c>
      <c r="H10" s="5" t="s">
        <v>127</v>
      </c>
      <c r="I10" s="5" t="s">
        <v>128</v>
      </c>
      <c r="J10" s="5" t="s">
        <v>129</v>
      </c>
      <c r="K10" s="5" t="s">
        <v>130</v>
      </c>
      <c r="L10" s="7" t="s">
        <v>67</v>
      </c>
      <c r="M10" s="7" t="s">
        <v>68</v>
      </c>
      <c r="N10" s="5"/>
      <c r="O10" s="8" t="s">
        <v>69</v>
      </c>
    </row>
    <row r="11" customFormat="false" ht="39" hidden="false" customHeight="true" outlineLevel="0" collapsed="false">
      <c r="A11" s="7" t="s">
        <v>131</v>
      </c>
      <c r="B11" s="5" t="s">
        <v>117</v>
      </c>
      <c r="C11" s="5" t="s">
        <v>118</v>
      </c>
      <c r="D11" s="5" t="s">
        <v>132</v>
      </c>
      <c r="E11" s="7" t="s">
        <v>133</v>
      </c>
      <c r="F11" s="5" t="s">
        <v>134</v>
      </c>
      <c r="G11" s="5" t="s">
        <v>74</v>
      </c>
      <c r="H11" s="5" t="s">
        <v>127</v>
      </c>
      <c r="I11" s="5" t="s">
        <v>135</v>
      </c>
      <c r="J11" s="5" t="s">
        <v>136</v>
      </c>
      <c r="K11" s="5" t="s">
        <v>137</v>
      </c>
      <c r="L11" s="7" t="s">
        <v>67</v>
      </c>
      <c r="M11" s="7" t="s">
        <v>68</v>
      </c>
      <c r="N11" s="5"/>
      <c r="O11" s="8" t="s">
        <v>69</v>
      </c>
    </row>
    <row r="12" customFormat="false" ht="39" hidden="false" customHeight="true" outlineLevel="0" collapsed="false">
      <c r="A12" s="7" t="s">
        <v>138</v>
      </c>
      <c r="B12" s="5" t="s">
        <v>57</v>
      </c>
      <c r="C12" s="5" t="s">
        <v>58</v>
      </c>
      <c r="D12" s="5" t="s">
        <v>139</v>
      </c>
      <c r="E12" s="7" t="s">
        <v>133</v>
      </c>
      <c r="F12" s="5" t="s">
        <v>140</v>
      </c>
      <c r="G12" s="5" t="s">
        <v>74</v>
      </c>
      <c r="H12" s="5" t="s">
        <v>120</v>
      </c>
      <c r="I12" s="5" t="s">
        <v>141</v>
      </c>
      <c r="J12" s="5" t="s">
        <v>142</v>
      </c>
      <c r="K12" s="5" t="s">
        <v>143</v>
      </c>
      <c r="L12" s="7" t="s">
        <v>67</v>
      </c>
      <c r="M12" s="7" t="s">
        <v>68</v>
      </c>
      <c r="N12" s="5"/>
      <c r="O12" s="8" t="s">
        <v>69</v>
      </c>
    </row>
    <row r="13" customFormat="false" ht="51.75" hidden="false" customHeight="true" outlineLevel="0" collapsed="false">
      <c r="A13" s="7" t="s">
        <v>144</v>
      </c>
      <c r="B13" s="5" t="s">
        <v>145</v>
      </c>
      <c r="C13" s="5" t="s">
        <v>146</v>
      </c>
      <c r="D13" s="5" t="s">
        <v>147</v>
      </c>
      <c r="E13" s="7" t="s">
        <v>60</v>
      </c>
      <c r="F13" s="5" t="s">
        <v>146</v>
      </c>
      <c r="G13" s="5" t="s">
        <v>62</v>
      </c>
      <c r="H13" s="5" t="s">
        <v>148</v>
      </c>
      <c r="I13" s="5" t="s">
        <v>149</v>
      </c>
      <c r="J13" s="5" t="s">
        <v>150</v>
      </c>
      <c r="K13" s="5" t="s">
        <v>151</v>
      </c>
      <c r="L13" s="7" t="s">
        <v>67</v>
      </c>
      <c r="M13" s="7" t="s">
        <v>68</v>
      </c>
      <c r="N13" s="5"/>
      <c r="O13" s="8" t="s">
        <v>69</v>
      </c>
    </row>
    <row r="14" customFormat="false" ht="51.75" hidden="false" customHeight="true" outlineLevel="0" collapsed="false">
      <c r="A14" s="7" t="s">
        <v>152</v>
      </c>
      <c r="B14" s="5" t="s">
        <v>80</v>
      </c>
      <c r="C14" s="5" t="s">
        <v>81</v>
      </c>
      <c r="D14" s="5" t="s">
        <v>153</v>
      </c>
      <c r="E14" s="7" t="s">
        <v>72</v>
      </c>
      <c r="F14" s="5" t="s">
        <v>154</v>
      </c>
      <c r="G14" s="5" t="s">
        <v>74</v>
      </c>
      <c r="H14" s="5" t="s">
        <v>106</v>
      </c>
      <c r="I14" s="5" t="s">
        <v>155</v>
      </c>
      <c r="J14" s="5" t="s">
        <v>156</v>
      </c>
      <c r="K14" s="5" t="s">
        <v>157</v>
      </c>
      <c r="L14" s="7" t="s">
        <v>67</v>
      </c>
      <c r="M14" s="7" t="s">
        <v>68</v>
      </c>
      <c r="N14" s="5"/>
      <c r="O14" s="8" t="s">
        <v>69</v>
      </c>
    </row>
    <row r="15" customFormat="false" ht="64.5" hidden="false" customHeight="true" outlineLevel="0" collapsed="false">
      <c r="A15" s="7" t="s">
        <v>158</v>
      </c>
      <c r="B15" s="5" t="s">
        <v>159</v>
      </c>
      <c r="C15" s="5" t="s">
        <v>160</v>
      </c>
      <c r="D15" s="5" t="s">
        <v>161</v>
      </c>
      <c r="E15" s="7" t="s">
        <v>60</v>
      </c>
      <c r="F15" s="5" t="s">
        <v>162</v>
      </c>
      <c r="G15" s="5" t="s">
        <v>74</v>
      </c>
      <c r="H15" s="5" t="s">
        <v>163</v>
      </c>
      <c r="I15" s="5" t="s">
        <v>164</v>
      </c>
      <c r="J15" s="5" t="s">
        <v>165</v>
      </c>
      <c r="K15" s="5" t="s">
        <v>166</v>
      </c>
      <c r="L15" s="7" t="s">
        <v>67</v>
      </c>
      <c r="M15" s="7" t="s">
        <v>68</v>
      </c>
      <c r="N15" s="5"/>
      <c r="O15" s="8" t="s">
        <v>69</v>
      </c>
    </row>
    <row r="16" customFormat="false" ht="64.5" hidden="false" customHeight="true" outlineLevel="0" collapsed="false">
      <c r="A16" s="7" t="s">
        <v>167</v>
      </c>
      <c r="B16" s="5" t="s">
        <v>159</v>
      </c>
      <c r="C16" s="5" t="s">
        <v>160</v>
      </c>
      <c r="D16" s="5" t="s">
        <v>168</v>
      </c>
      <c r="E16" s="7" t="s">
        <v>60</v>
      </c>
      <c r="F16" s="5" t="s">
        <v>162</v>
      </c>
      <c r="G16" s="5" t="s">
        <v>74</v>
      </c>
      <c r="H16" s="5" t="s">
        <v>163</v>
      </c>
      <c r="I16" s="5" t="s">
        <v>169</v>
      </c>
      <c r="J16" s="5" t="s">
        <v>170</v>
      </c>
      <c r="K16" s="5" t="s">
        <v>171</v>
      </c>
      <c r="L16" s="7" t="s">
        <v>67</v>
      </c>
      <c r="M16" s="7" t="s">
        <v>68</v>
      </c>
      <c r="N16" s="5"/>
      <c r="O16" s="8" t="s">
        <v>69</v>
      </c>
    </row>
  </sheetData>
  <autoFilter ref="A1:O16"/>
  <conditionalFormatting sqref="E2:E16">
    <cfRule type="cellIs" priority="2" operator="equal" aboveAverage="0" equalAverage="0" bottom="0" percent="0" rank="0" text="" dxfId="8">
      <formula>"High"</formula>
    </cfRule>
    <cfRule type="cellIs" priority="3" operator="equal" aboveAverage="0" equalAverage="0" bottom="0" percent="0" rank="0" text="" dxfId="9">
      <formula>"Medium"</formula>
    </cfRule>
    <cfRule type="cellIs" priority="4" operator="equal" aboveAverage="0" equalAverage="0" bottom="0" percent="0" rank="0" text="" dxfId="10">
      <formula>"Low"</formula>
    </cfRule>
  </conditionalFormatting>
  <conditionalFormatting sqref="M2:M16">
    <cfRule type="cellIs" priority="5" operator="equal" aboveAverage="0" equalAverage="0" bottom="0" percent="0" rank="0" text="" dxfId="11">
      <formula>"Passed"</formula>
    </cfRule>
    <cfRule type="cellIs" priority="6" operator="equal" aboveAverage="0" equalAverage="0" bottom="0" percent="0" rank="0" text="" dxfId="12">
      <formula>"Failed"</formula>
    </cfRule>
    <cfRule type="cellIs" priority="7" operator="equal" aboveAverage="0" equalAverage="0" bottom="0" percent="0" rank="0" text="" dxfId="13">
      <formula>"Blocked"</formula>
    </cfRule>
  </conditionalFormatting>
  <dataValidations count="1">
    <dataValidation allowBlank="true" errorStyle="stop" operator="between" showDropDown="false" showErrorMessage="false" showInputMessage="false" sqref="M2:M16" type="list">
      <formula1>"Not run,Passed,Failed,Blocked"</formula1>
      <formula2>0</formula2>
    </dataValidation>
  </dataValidations>
  <hyperlinks>
    <hyperlink ref="O2" r:id="rId1" display="2026-10-22, CI run #1"/>
    <hyperlink ref="O3" r:id="rId2" display="2026-10-22, CI run #1"/>
    <hyperlink ref="O4" r:id="rId3" display="2026-10-22, CI run #1"/>
    <hyperlink ref="O5" r:id="rId4" display="2026-10-22, CI run #1"/>
    <hyperlink ref="O6" r:id="rId5" display="2026-10-22, CI run #1"/>
    <hyperlink ref="O7" r:id="rId6" display="2026-10-22, CI run #1"/>
    <hyperlink ref="O8" r:id="rId7" display="2026-10-22, CI run #1"/>
    <hyperlink ref="O9" r:id="rId8" display="2026-10-22, CI run #1"/>
    <hyperlink ref="O10" r:id="rId9" display="2026-10-22, CI run #1"/>
    <hyperlink ref="O11" r:id="rId10" display="2026-10-22, CI run #1"/>
    <hyperlink ref="O12" r:id="rId11" display="2026-10-22, CI run #1"/>
    <hyperlink ref="O13" r:id="rId12" display="2026-10-22, CI run #1"/>
    <hyperlink ref="O14" r:id="rId13" display="2026-10-22, CI run #1"/>
    <hyperlink ref="O15" r:id="rId14" display="2026-10-22, CI run #1"/>
    <hyperlink ref="O16" r:id="rId15" display="2026-10-22, CI run #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4"/>
  </cols>
  <sheetData>
    <row r="1" customFormat="false" ht="17.25" hidden="false" customHeight="true" outlineLevel="0" collapsed="false">
      <c r="A1" s="9" t="s">
        <v>172</v>
      </c>
    </row>
    <row r="2" customFormat="false" ht="15" hidden="false" customHeight="true" outlineLevel="0" collapsed="false">
      <c r="A2" s="10" t="s">
        <v>173</v>
      </c>
    </row>
    <row r="4" customFormat="false" ht="15" hidden="false" customHeight="true" outlineLevel="0" collapsed="false">
      <c r="A4" s="6" t="s">
        <v>45</v>
      </c>
      <c r="B4" s="6" t="s">
        <v>174</v>
      </c>
    </row>
    <row r="5" customFormat="false" ht="15" hidden="false" customHeight="true" outlineLevel="0" collapsed="false">
      <c r="A5" s="5" t="s">
        <v>60</v>
      </c>
      <c r="B5" s="5" t="n">
        <f aca="false">COUNTIF('Test Cases'!$E$2:$E$16,A5)</f>
        <v>9</v>
      </c>
    </row>
    <row r="6" customFormat="false" ht="15" hidden="false" customHeight="true" outlineLevel="0" collapsed="false">
      <c r="A6" s="5" t="s">
        <v>72</v>
      </c>
      <c r="B6" s="5" t="n">
        <f aca="false">COUNTIF('Test Cases'!$E$2:$E$16,A6)</f>
        <v>4</v>
      </c>
    </row>
    <row r="7" customFormat="false" ht="15" hidden="false" customHeight="true" outlineLevel="0" collapsed="false">
      <c r="A7" s="5" t="s">
        <v>133</v>
      </c>
      <c r="B7" s="5" t="n">
        <f aca="false">COUNTIF('Test Cases'!$E$2:$E$16,A7)</f>
        <v>2</v>
      </c>
    </row>
    <row r="8" customFormat="false" ht="15" hidden="false" customHeight="true" outlineLevel="0" collapsed="false">
      <c r="A8" s="4" t="s">
        <v>175</v>
      </c>
      <c r="B8" s="4" t="n">
        <f aca="false">SUM(B5:B7)</f>
        <v>15</v>
      </c>
    </row>
    <row r="10" customFormat="false" ht="15" hidden="false" customHeight="true" outlineLevel="0" collapsed="false">
      <c r="A10" s="6" t="s">
        <v>43</v>
      </c>
      <c r="B10" s="6" t="s">
        <v>174</v>
      </c>
    </row>
    <row r="11" customFormat="false" ht="15" hidden="false" customHeight="true" outlineLevel="0" collapsed="false">
      <c r="A11" s="5" t="s">
        <v>58</v>
      </c>
      <c r="B11" s="5" t="n">
        <f aca="false">COUNTIF('Test Cases'!$C$2:$C$16,A11)</f>
        <v>3</v>
      </c>
    </row>
    <row r="12" customFormat="false" ht="15" hidden="false" customHeight="true" outlineLevel="0" collapsed="false">
      <c r="A12" s="5" t="s">
        <v>81</v>
      </c>
      <c r="B12" s="5" t="n">
        <f aca="false">COUNTIF('Test Cases'!$C$2:$C$16,A12)</f>
        <v>2</v>
      </c>
    </row>
    <row r="13" customFormat="false" ht="15" hidden="false" customHeight="true" outlineLevel="0" collapsed="false">
      <c r="A13" s="5" t="s">
        <v>90</v>
      </c>
      <c r="B13" s="5" t="n">
        <f aca="false">COUNTIF('Test Cases'!$C$2:$C$16,A13)</f>
        <v>2</v>
      </c>
    </row>
    <row r="14" customFormat="false" ht="15" hidden="false" customHeight="true" outlineLevel="0" collapsed="false">
      <c r="A14" s="5" t="s">
        <v>104</v>
      </c>
      <c r="B14" s="5" t="n">
        <f aca="false">COUNTIF('Test Cases'!$C$2:$C$16,A14)</f>
        <v>2</v>
      </c>
    </row>
    <row r="15" customFormat="false" ht="15" hidden="false" customHeight="true" outlineLevel="0" collapsed="false">
      <c r="A15" s="5" t="s">
        <v>118</v>
      </c>
      <c r="B15" s="5" t="n">
        <f aca="false">COUNTIF('Test Cases'!$C$2:$C$16,A15)</f>
        <v>3</v>
      </c>
    </row>
    <row r="16" customFormat="false" ht="15" hidden="false" customHeight="true" outlineLevel="0" collapsed="false">
      <c r="A16" s="5" t="s">
        <v>146</v>
      </c>
      <c r="B16" s="5" t="n">
        <f aca="false">COUNTIF('Test Cases'!$C$2:$C$16,A16)</f>
        <v>1</v>
      </c>
    </row>
    <row r="17" customFormat="false" ht="15" hidden="false" customHeight="true" outlineLevel="0" collapsed="false">
      <c r="A17" s="5" t="s">
        <v>160</v>
      </c>
      <c r="B17" s="5" t="n">
        <f aca="false">COUNTIF('Test Cases'!$C$2:$C$16,A17)</f>
        <v>2</v>
      </c>
    </row>
    <row r="18" customFormat="false" ht="15" hidden="false" customHeight="true" outlineLevel="0" collapsed="false">
      <c r="A18" s="4" t="s">
        <v>175</v>
      </c>
      <c r="B18" s="4" t="n">
        <f aca="false">SUM(B11:B17)</f>
        <v>15</v>
      </c>
    </row>
    <row r="20" customFormat="false" ht="15" hidden="false" customHeight="true" outlineLevel="0" collapsed="false">
      <c r="A20" s="6" t="s">
        <v>53</v>
      </c>
      <c r="B20" s="6" t="s">
        <v>174</v>
      </c>
    </row>
    <row r="21" customFormat="false" ht="15" hidden="false" customHeight="true" outlineLevel="0" collapsed="false">
      <c r="A21" s="5" t="s">
        <v>176</v>
      </c>
      <c r="B21" s="5" t="n">
        <f aca="false">COUNTIF('Test Cases'!$M$2:$M$16,A21)</f>
        <v>0</v>
      </c>
    </row>
    <row r="22" customFormat="false" ht="15" hidden="false" customHeight="true" outlineLevel="0" collapsed="false">
      <c r="A22" s="5" t="s">
        <v>68</v>
      </c>
      <c r="B22" s="5" t="n">
        <f aca="false">COUNTIF('Test Cases'!$M$2:$M$16,A22)</f>
        <v>15</v>
      </c>
    </row>
    <row r="23" customFormat="false" ht="15" hidden="false" customHeight="true" outlineLevel="0" collapsed="false">
      <c r="A23" s="5" t="s">
        <v>177</v>
      </c>
      <c r="B23" s="5" t="n">
        <f aca="false">COUNTIF('Test Cases'!$M$2:$M$16,A23)</f>
        <v>0</v>
      </c>
    </row>
    <row r="24" customFormat="false" ht="15" hidden="false" customHeight="true" outlineLevel="0" collapsed="false">
      <c r="A24" s="5" t="s">
        <v>178</v>
      </c>
      <c r="B24" s="5" t="n">
        <f aca="false">COUNTIF('Test Cases'!$M$2:$M$16,A24)</f>
        <v>0</v>
      </c>
    </row>
    <row r="25" customFormat="false" ht="15" hidden="false" customHeight="true" outlineLevel="0" collapsed="false">
      <c r="A25" s="4" t="s">
        <v>175</v>
      </c>
      <c r="B25" s="4" t="n">
        <f aca="false">SUM(B21:B24)</f>
        <v>15</v>
      </c>
    </row>
    <row r="27" customFormat="false" ht="15" hidden="false" customHeight="true" outlineLevel="0" collapsed="false">
      <c r="A27" s="4" t="s">
        <v>179</v>
      </c>
      <c r="B27" s="11" t="n">
        <f aca="false">IFERROR(COUNTIF('Test Cases'!$M$2:$M$16,"Passed")/COUNTA('Test Cases'!$A$2:$A$16),0)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2026-10-22T10:02:58Z</dcterms:created>
  <dc:creator>openpyxl</dc:creator>
  <dc:description/>
  <dc:language>en-US</dc:language>
  <cp:lastModifiedBy/>
  <dcterms:modified xsi:type="dcterms:W3CDTF">2026-10-23T17:19:43Z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